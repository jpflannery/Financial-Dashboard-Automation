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4968e408f2981c8/Documents/Freelance/Portfolio Projects/Portfolio Project 1/"/>
    </mc:Choice>
  </mc:AlternateContent>
  <xr:revisionPtr revIDLastSave="442" documentId="8_{2F8D2C90-00BB-4B31-9C8E-CAA678661627}" xr6:coauthVersionLast="47" xr6:coauthVersionMax="47" xr10:uidLastSave="{DDC9F75B-303F-4AC4-BC6F-86DDDA8C8D0F}"/>
  <bookViews>
    <workbookView xWindow="-120" yWindow="-120" windowWidth="20730" windowHeight="11040" activeTab="2" xr2:uid="{7DB03217-47D4-45DA-96EE-5B913FBD30FE}"/>
  </bookViews>
  <sheets>
    <sheet name="Raw_Data" sheetId="1" r:id="rId1"/>
    <sheet name="Categorized_Data" sheetId="2" r:id="rId2"/>
    <sheet name="Summary" sheetId="3" r:id="rId3"/>
    <sheet name="README" sheetId="5" state="hidden" r:id="rId4"/>
    <sheet name="Control" sheetId="4" state="hidden" r:id="rId5"/>
  </sheets>
  <definedNames>
    <definedName name="CategorizedData">#REF!</definedName>
    <definedName name="ExpenseCategory">tblExpenseCategory[ExpexnseCategory]</definedName>
    <definedName name="ExternalData_1" localSheetId="0">Raw_Data!$A$2:$G$12</definedName>
    <definedName name="ExternalData_10" localSheetId="0">Raw_Data!$A$2:$G$201</definedName>
    <definedName name="ExternalData_11" localSheetId="0">Raw_Data!$A$2:$G$201</definedName>
    <definedName name="ExternalData_12" localSheetId="0">Raw_Data!$A$2:$G$201</definedName>
    <definedName name="ExternalData_13" localSheetId="0">Raw_Data!$A$2:$G$201</definedName>
    <definedName name="ExternalData_14" localSheetId="0">Raw_Data!$A$2:$G$201</definedName>
    <definedName name="ExternalData_15" localSheetId="0">Raw_Data!$A$2:$G$201</definedName>
    <definedName name="ExternalData_16" localSheetId="0">Raw_Data!$A$2:$G$201</definedName>
    <definedName name="ExternalData_17" localSheetId="0">Raw_Data!$A$2:$G$201</definedName>
    <definedName name="ExternalData_18" localSheetId="0">Raw_Data!$A$2:$G$201</definedName>
    <definedName name="ExternalData_19" localSheetId="0">Raw_Data!$A$2:$G$201</definedName>
    <definedName name="ExternalData_2" localSheetId="0">Raw_Data!$A$2:$G$12</definedName>
    <definedName name="ExternalData_20" localSheetId="0">Raw_Data!$A$2:$G$201</definedName>
    <definedName name="ExternalData_21" localSheetId="0">Raw_Data!$A$2:$G$201</definedName>
    <definedName name="ExternalData_22" localSheetId="0">Raw_Data!$A$2:$G$201</definedName>
    <definedName name="ExternalData_23" localSheetId="0">Raw_Data!$A$2:$G$201</definedName>
    <definedName name="ExternalData_24" localSheetId="0">Raw_Data!$A$2:$G$201</definedName>
    <definedName name="ExternalData_25" localSheetId="0">Raw_Data!$A$2:$G$201</definedName>
    <definedName name="ExternalData_26" localSheetId="0">Raw_Data!$A$2:$G$201</definedName>
    <definedName name="ExternalData_27" localSheetId="0">Raw_Data!$A$2:$G$202</definedName>
    <definedName name="ExternalData_28" localSheetId="0">Raw_Data!$A$2:$G$12</definedName>
    <definedName name="ExternalData_29" localSheetId="0">Raw_Data!$A$2:$G$201</definedName>
    <definedName name="ExternalData_3" localSheetId="0">Raw_Data!$A$2:$G$11</definedName>
    <definedName name="ExternalData_30" localSheetId="0">Raw_Data!$A$2:$G$202</definedName>
    <definedName name="ExternalData_31" localSheetId="0">Raw_Data!$A$2:$G$202</definedName>
    <definedName name="ExternalData_32" localSheetId="0">Raw_Data!$A$2:$G$202</definedName>
    <definedName name="ExternalData_33" localSheetId="0">Raw_Data!$A$2:$G$201</definedName>
    <definedName name="ExternalData_34" localSheetId="0">Raw_Data!$A$2:$G$201</definedName>
    <definedName name="ExternalData_35" localSheetId="0">Raw_Data!$A$2:$G$201</definedName>
    <definedName name="ExternalData_36" localSheetId="0">Raw_Data!$A$2:$G$201</definedName>
    <definedName name="ExternalData_37" localSheetId="0">Raw_Data!$A$2:$G$201</definedName>
    <definedName name="ExternalData_4" localSheetId="0">Raw_Data!$A$2:$G$201</definedName>
    <definedName name="ExternalData_5" localSheetId="0">Raw_Data!$A$2:$G$201</definedName>
    <definedName name="ExternalData_6" localSheetId="0">Raw_Data!$A$2:$G$201</definedName>
    <definedName name="ExternalData_7" localSheetId="0">Raw_Data!$A$2:$G$201</definedName>
    <definedName name="ExternalData_8" localSheetId="0">Raw_Data!$A$2:$G$201</definedName>
    <definedName name="ExternalData_9" localSheetId="0">Raw_Data!$A$2:$G$201</definedName>
    <definedName name="MonthList">tblMonths[MonthList]</definedName>
    <definedName name="RawData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3" i="2" l="1"/>
  <c r="I3" i="2"/>
  <c r="J3" i="2"/>
  <c r="H4" i="2"/>
  <c r="I4" i="2"/>
  <c r="J4" i="2"/>
  <c r="H5" i="2"/>
  <c r="I5" i="2"/>
  <c r="J5" i="2"/>
  <c r="H6" i="2"/>
  <c r="I6" i="2"/>
  <c r="J6" i="2"/>
  <c r="H7" i="2"/>
  <c r="I7" i="2"/>
  <c r="J7" i="2"/>
  <c r="H8" i="2"/>
  <c r="I8" i="2"/>
  <c r="J8" i="2"/>
  <c r="H9" i="2"/>
  <c r="I9" i="2"/>
  <c r="J9" i="2"/>
  <c r="H10" i="2"/>
  <c r="I10" i="2"/>
  <c r="J10" i="2"/>
  <c r="H11" i="2"/>
  <c r="I11" i="2"/>
  <c r="J11" i="2"/>
  <c r="H12" i="2"/>
  <c r="I12" i="2"/>
  <c r="J12" i="2"/>
  <c r="H13" i="2"/>
  <c r="I13" i="2"/>
  <c r="J13" i="2"/>
  <c r="H14" i="2"/>
  <c r="I14" i="2"/>
  <c r="J14" i="2"/>
  <c r="H15" i="2"/>
  <c r="I15" i="2"/>
  <c r="J15" i="2"/>
  <c r="H16" i="2"/>
  <c r="I16" i="2"/>
  <c r="J16" i="2"/>
  <c r="H17" i="2"/>
  <c r="I17" i="2"/>
  <c r="J17" i="2"/>
  <c r="H18" i="2"/>
  <c r="I18" i="2"/>
  <c r="J18" i="2"/>
  <c r="H19" i="2"/>
  <c r="I19" i="2"/>
  <c r="J19" i="2"/>
  <c r="H20" i="2"/>
  <c r="I20" i="2"/>
  <c r="J20" i="2"/>
  <c r="H21" i="2"/>
  <c r="I21" i="2"/>
  <c r="J21" i="2"/>
  <c r="H22" i="2"/>
  <c r="I22" i="2"/>
  <c r="J22" i="2"/>
  <c r="H23" i="2"/>
  <c r="I23" i="2"/>
  <c r="J23" i="2"/>
  <c r="H24" i="2"/>
  <c r="I24" i="2"/>
  <c r="J24" i="2"/>
  <c r="H25" i="2"/>
  <c r="I25" i="2"/>
  <c r="J25" i="2"/>
  <c r="H26" i="2"/>
  <c r="I26" i="2"/>
  <c r="J26" i="2"/>
  <c r="H27" i="2"/>
  <c r="I27" i="2"/>
  <c r="J27" i="2"/>
  <c r="H28" i="2"/>
  <c r="I28" i="2"/>
  <c r="J28" i="2"/>
  <c r="H29" i="2"/>
  <c r="I29" i="2"/>
  <c r="J29" i="2"/>
  <c r="H30" i="2"/>
  <c r="I30" i="2"/>
  <c r="J30" i="2"/>
  <c r="H31" i="2"/>
  <c r="I31" i="2"/>
  <c r="J31" i="2"/>
  <c r="H32" i="2"/>
  <c r="I32" i="2"/>
  <c r="J32" i="2"/>
  <c r="H33" i="2"/>
  <c r="I33" i="2"/>
  <c r="J33" i="2"/>
  <c r="H34" i="2"/>
  <c r="I34" i="2"/>
  <c r="J34" i="2"/>
  <c r="H35" i="2"/>
  <c r="I35" i="2"/>
  <c r="J35" i="2"/>
  <c r="H36" i="2"/>
  <c r="I36" i="2"/>
  <c r="J36" i="2"/>
  <c r="H37" i="2"/>
  <c r="I37" i="2"/>
  <c r="J37" i="2"/>
  <c r="H38" i="2"/>
  <c r="I38" i="2"/>
  <c r="J38" i="2"/>
  <c r="H39" i="2"/>
  <c r="I39" i="2"/>
  <c r="J39" i="2"/>
  <c r="H40" i="2"/>
  <c r="I40" i="2"/>
  <c r="J40" i="2"/>
  <c r="H41" i="2"/>
  <c r="I41" i="2"/>
  <c r="J41" i="2"/>
  <c r="H42" i="2"/>
  <c r="I42" i="2"/>
  <c r="J42" i="2"/>
  <c r="H43" i="2"/>
  <c r="I43" i="2"/>
  <c r="J43" i="2"/>
  <c r="H44" i="2"/>
  <c r="I44" i="2"/>
  <c r="J44" i="2"/>
  <c r="H45" i="2"/>
  <c r="I45" i="2"/>
  <c r="J45" i="2"/>
  <c r="H46" i="2"/>
  <c r="I46" i="2"/>
  <c r="J46" i="2"/>
  <c r="H47" i="2"/>
  <c r="I47" i="2"/>
  <c r="J47" i="2"/>
  <c r="H48" i="2"/>
  <c r="I48" i="2"/>
  <c r="J48" i="2"/>
  <c r="H49" i="2"/>
  <c r="I49" i="2"/>
  <c r="J49" i="2"/>
  <c r="H50" i="2"/>
  <c r="I50" i="2"/>
  <c r="J50" i="2"/>
  <c r="H51" i="2"/>
  <c r="I51" i="2"/>
  <c r="J51" i="2"/>
  <c r="H52" i="2"/>
  <c r="I52" i="2"/>
  <c r="J52" i="2"/>
  <c r="H53" i="2"/>
  <c r="I53" i="2"/>
  <c r="J53" i="2"/>
  <c r="H54" i="2"/>
  <c r="I54" i="2"/>
  <c r="J54" i="2"/>
  <c r="H55" i="2"/>
  <c r="I55" i="2"/>
  <c r="J55" i="2"/>
  <c r="H56" i="2"/>
  <c r="I56" i="2"/>
  <c r="J56" i="2"/>
  <c r="H57" i="2"/>
  <c r="I57" i="2"/>
  <c r="J57" i="2"/>
  <c r="H58" i="2"/>
  <c r="I58" i="2"/>
  <c r="J58" i="2"/>
  <c r="H59" i="2"/>
  <c r="I59" i="2"/>
  <c r="J59" i="2"/>
  <c r="H60" i="2"/>
  <c r="I60" i="2"/>
  <c r="J60" i="2"/>
  <c r="H61" i="2"/>
  <c r="I61" i="2"/>
  <c r="J61" i="2"/>
  <c r="H62" i="2"/>
  <c r="I62" i="2"/>
  <c r="J62" i="2"/>
  <c r="H63" i="2"/>
  <c r="I63" i="2"/>
  <c r="J63" i="2"/>
  <c r="H64" i="2"/>
  <c r="I64" i="2"/>
  <c r="J64" i="2"/>
  <c r="H65" i="2"/>
  <c r="I65" i="2"/>
  <c r="J65" i="2"/>
  <c r="H66" i="2"/>
  <c r="I66" i="2"/>
  <c r="J66" i="2"/>
  <c r="H67" i="2"/>
  <c r="I67" i="2"/>
  <c r="J67" i="2"/>
  <c r="H68" i="2"/>
  <c r="I68" i="2"/>
  <c r="J68" i="2"/>
  <c r="H69" i="2"/>
  <c r="I69" i="2"/>
  <c r="J69" i="2"/>
  <c r="H70" i="2"/>
  <c r="I70" i="2"/>
  <c r="J70" i="2"/>
  <c r="H71" i="2"/>
  <c r="I71" i="2"/>
  <c r="J71" i="2"/>
  <c r="H72" i="2"/>
  <c r="I72" i="2"/>
  <c r="J72" i="2"/>
  <c r="H73" i="2"/>
  <c r="I73" i="2"/>
  <c r="J73" i="2"/>
  <c r="H74" i="2"/>
  <c r="I74" i="2"/>
  <c r="J74" i="2"/>
  <c r="H75" i="2"/>
  <c r="I75" i="2"/>
  <c r="J75" i="2"/>
  <c r="H76" i="2"/>
  <c r="I76" i="2"/>
  <c r="J76" i="2"/>
  <c r="H77" i="2"/>
  <c r="I77" i="2"/>
  <c r="J77" i="2"/>
  <c r="H78" i="2"/>
  <c r="I78" i="2"/>
  <c r="J78" i="2"/>
  <c r="H79" i="2"/>
  <c r="I79" i="2"/>
  <c r="J79" i="2"/>
  <c r="H80" i="2"/>
  <c r="I80" i="2"/>
  <c r="J80" i="2"/>
  <c r="H81" i="2"/>
  <c r="I81" i="2"/>
  <c r="J81" i="2"/>
  <c r="H82" i="2"/>
  <c r="I82" i="2"/>
  <c r="J82" i="2"/>
  <c r="H83" i="2"/>
  <c r="I83" i="2"/>
  <c r="J83" i="2"/>
  <c r="H84" i="2"/>
  <c r="I84" i="2"/>
  <c r="J84" i="2"/>
  <c r="H85" i="2"/>
  <c r="I85" i="2"/>
  <c r="J85" i="2"/>
  <c r="H86" i="2"/>
  <c r="I86" i="2"/>
  <c r="J86" i="2"/>
  <c r="H87" i="2"/>
  <c r="I87" i="2"/>
  <c r="J87" i="2"/>
  <c r="H88" i="2"/>
  <c r="I88" i="2"/>
  <c r="J88" i="2"/>
  <c r="H89" i="2"/>
  <c r="I89" i="2"/>
  <c r="J89" i="2"/>
  <c r="H90" i="2"/>
  <c r="I90" i="2"/>
  <c r="J90" i="2"/>
  <c r="H91" i="2"/>
  <c r="I91" i="2"/>
  <c r="J91" i="2"/>
  <c r="H92" i="2"/>
  <c r="I92" i="2"/>
  <c r="J92" i="2"/>
  <c r="H93" i="2"/>
  <c r="I93" i="2"/>
  <c r="J93" i="2"/>
  <c r="H94" i="2"/>
  <c r="I94" i="2"/>
  <c r="J94" i="2"/>
  <c r="H95" i="2"/>
  <c r="I95" i="2"/>
  <c r="J95" i="2"/>
  <c r="H96" i="2"/>
  <c r="I96" i="2"/>
  <c r="J96" i="2"/>
  <c r="H97" i="2"/>
  <c r="I97" i="2"/>
  <c r="J97" i="2"/>
  <c r="H98" i="2"/>
  <c r="I98" i="2"/>
  <c r="J98" i="2"/>
  <c r="H99" i="2"/>
  <c r="I99" i="2"/>
  <c r="J99" i="2"/>
  <c r="H100" i="2"/>
  <c r="I100" i="2"/>
  <c r="J100" i="2"/>
  <c r="H101" i="2"/>
  <c r="I101" i="2"/>
  <c r="J101" i="2"/>
  <c r="H102" i="2"/>
  <c r="I102" i="2"/>
  <c r="J102" i="2"/>
  <c r="H103" i="2"/>
  <c r="I103" i="2"/>
  <c r="J103" i="2"/>
  <c r="H104" i="2"/>
  <c r="I104" i="2"/>
  <c r="J104" i="2"/>
  <c r="H105" i="2"/>
  <c r="I105" i="2"/>
  <c r="J105" i="2"/>
  <c r="H106" i="2"/>
  <c r="I106" i="2"/>
  <c r="J106" i="2"/>
  <c r="H107" i="2"/>
  <c r="I107" i="2"/>
  <c r="J107" i="2"/>
  <c r="H108" i="2"/>
  <c r="I108" i="2"/>
  <c r="J108" i="2"/>
  <c r="H109" i="2"/>
  <c r="I109" i="2"/>
  <c r="J109" i="2"/>
  <c r="H110" i="2"/>
  <c r="I110" i="2"/>
  <c r="J110" i="2"/>
  <c r="H111" i="2"/>
  <c r="I111" i="2"/>
  <c r="J111" i="2"/>
  <c r="H112" i="2"/>
  <c r="I112" i="2"/>
  <c r="J112" i="2"/>
  <c r="H113" i="2"/>
  <c r="I113" i="2"/>
  <c r="J113" i="2"/>
  <c r="H114" i="2"/>
  <c r="I114" i="2"/>
  <c r="J114" i="2"/>
  <c r="H115" i="2"/>
  <c r="I115" i="2"/>
  <c r="J115" i="2"/>
  <c r="H116" i="2"/>
  <c r="I116" i="2"/>
  <c r="J116" i="2"/>
  <c r="H117" i="2"/>
  <c r="I117" i="2"/>
  <c r="J117" i="2"/>
  <c r="H118" i="2"/>
  <c r="I118" i="2"/>
  <c r="J118" i="2"/>
  <c r="H119" i="2"/>
  <c r="I119" i="2"/>
  <c r="J119" i="2"/>
  <c r="H120" i="2"/>
  <c r="I120" i="2"/>
  <c r="J120" i="2"/>
  <c r="H121" i="2"/>
  <c r="I121" i="2"/>
  <c r="J121" i="2"/>
  <c r="H122" i="2"/>
  <c r="I122" i="2"/>
  <c r="J122" i="2"/>
  <c r="H123" i="2"/>
  <c r="I123" i="2"/>
  <c r="J123" i="2"/>
  <c r="H124" i="2"/>
  <c r="I124" i="2"/>
  <c r="J124" i="2"/>
  <c r="H125" i="2"/>
  <c r="I125" i="2"/>
  <c r="J125" i="2"/>
  <c r="H126" i="2"/>
  <c r="I126" i="2"/>
  <c r="J126" i="2"/>
  <c r="H127" i="2"/>
  <c r="I127" i="2"/>
  <c r="J127" i="2"/>
  <c r="H128" i="2"/>
  <c r="I128" i="2"/>
  <c r="J128" i="2"/>
  <c r="H129" i="2"/>
  <c r="I129" i="2"/>
  <c r="J129" i="2"/>
  <c r="H130" i="2"/>
  <c r="I130" i="2"/>
  <c r="J130" i="2"/>
  <c r="H131" i="2"/>
  <c r="I131" i="2"/>
  <c r="J131" i="2"/>
  <c r="H132" i="2"/>
  <c r="I132" i="2"/>
  <c r="J132" i="2"/>
  <c r="H133" i="2"/>
  <c r="I133" i="2"/>
  <c r="J133" i="2"/>
  <c r="H134" i="2"/>
  <c r="I134" i="2"/>
  <c r="J134" i="2"/>
  <c r="H135" i="2"/>
  <c r="I135" i="2"/>
  <c r="J135" i="2"/>
  <c r="H136" i="2"/>
  <c r="I136" i="2"/>
  <c r="J136" i="2"/>
  <c r="H137" i="2"/>
  <c r="I137" i="2"/>
  <c r="J137" i="2"/>
  <c r="H138" i="2"/>
  <c r="I138" i="2"/>
  <c r="J138" i="2"/>
  <c r="H139" i="2"/>
  <c r="I139" i="2"/>
  <c r="J139" i="2"/>
  <c r="H140" i="2"/>
  <c r="I140" i="2"/>
  <c r="J140" i="2"/>
  <c r="H141" i="2"/>
  <c r="I141" i="2"/>
  <c r="J141" i="2"/>
  <c r="H142" i="2"/>
  <c r="I142" i="2"/>
  <c r="J142" i="2"/>
  <c r="H143" i="2"/>
  <c r="I143" i="2"/>
  <c r="J143" i="2"/>
  <c r="H144" i="2"/>
  <c r="I144" i="2"/>
  <c r="J144" i="2"/>
  <c r="H145" i="2"/>
  <c r="I145" i="2"/>
  <c r="J145" i="2"/>
  <c r="H146" i="2"/>
  <c r="I146" i="2"/>
  <c r="J146" i="2"/>
  <c r="H147" i="2"/>
  <c r="I147" i="2"/>
  <c r="J147" i="2"/>
  <c r="H148" i="2"/>
  <c r="I148" i="2"/>
  <c r="J148" i="2"/>
  <c r="H149" i="2"/>
  <c r="I149" i="2"/>
  <c r="J149" i="2"/>
  <c r="H150" i="2"/>
  <c r="I150" i="2"/>
  <c r="J150" i="2"/>
  <c r="H151" i="2"/>
  <c r="I151" i="2"/>
  <c r="J151" i="2"/>
  <c r="H152" i="2"/>
  <c r="I152" i="2"/>
  <c r="J152" i="2"/>
  <c r="H153" i="2"/>
  <c r="I153" i="2"/>
  <c r="J153" i="2"/>
  <c r="H154" i="2"/>
  <c r="I154" i="2"/>
  <c r="J154" i="2"/>
  <c r="H155" i="2"/>
  <c r="I155" i="2"/>
  <c r="J155" i="2"/>
  <c r="H156" i="2"/>
  <c r="I156" i="2"/>
  <c r="J156" i="2"/>
  <c r="H157" i="2"/>
  <c r="I157" i="2"/>
  <c r="J157" i="2"/>
  <c r="H158" i="2"/>
  <c r="I158" i="2"/>
  <c r="J158" i="2"/>
  <c r="H159" i="2"/>
  <c r="I159" i="2"/>
  <c r="J159" i="2"/>
  <c r="H160" i="2"/>
  <c r="I160" i="2"/>
  <c r="J160" i="2"/>
  <c r="H161" i="2"/>
  <c r="I161" i="2"/>
  <c r="J161" i="2"/>
  <c r="H162" i="2"/>
  <c r="I162" i="2"/>
  <c r="J162" i="2"/>
  <c r="H163" i="2"/>
  <c r="I163" i="2"/>
  <c r="J163" i="2"/>
  <c r="H164" i="2"/>
  <c r="I164" i="2"/>
  <c r="J164" i="2"/>
  <c r="H165" i="2"/>
  <c r="I165" i="2"/>
  <c r="J165" i="2"/>
  <c r="H166" i="2"/>
  <c r="I166" i="2"/>
  <c r="J166" i="2"/>
  <c r="H167" i="2"/>
  <c r="I167" i="2"/>
  <c r="J167" i="2"/>
  <c r="H168" i="2"/>
  <c r="I168" i="2"/>
  <c r="J168" i="2"/>
  <c r="H169" i="2"/>
  <c r="I169" i="2"/>
  <c r="J169" i="2"/>
  <c r="H170" i="2"/>
  <c r="I170" i="2"/>
  <c r="J170" i="2"/>
  <c r="H171" i="2"/>
  <c r="I171" i="2"/>
  <c r="J171" i="2"/>
  <c r="H172" i="2"/>
  <c r="I172" i="2"/>
  <c r="J172" i="2"/>
  <c r="H173" i="2"/>
  <c r="I173" i="2"/>
  <c r="J173" i="2"/>
  <c r="H174" i="2"/>
  <c r="I174" i="2"/>
  <c r="J174" i="2"/>
  <c r="H175" i="2"/>
  <c r="I175" i="2"/>
  <c r="J175" i="2"/>
  <c r="H176" i="2"/>
  <c r="I176" i="2"/>
  <c r="J176" i="2"/>
  <c r="H177" i="2"/>
  <c r="I177" i="2"/>
  <c r="J177" i="2"/>
  <c r="H178" i="2"/>
  <c r="I178" i="2"/>
  <c r="J178" i="2"/>
  <c r="H179" i="2"/>
  <c r="I179" i="2"/>
  <c r="J179" i="2"/>
  <c r="H180" i="2"/>
  <c r="I180" i="2"/>
  <c r="J180" i="2"/>
  <c r="H181" i="2"/>
  <c r="I181" i="2"/>
  <c r="J181" i="2"/>
  <c r="H182" i="2"/>
  <c r="I182" i="2"/>
  <c r="J182" i="2"/>
  <c r="H183" i="2"/>
  <c r="I183" i="2"/>
  <c r="J183" i="2"/>
  <c r="H184" i="2"/>
  <c r="I184" i="2"/>
  <c r="J184" i="2"/>
  <c r="H185" i="2"/>
  <c r="I185" i="2"/>
  <c r="J185" i="2"/>
  <c r="H186" i="2"/>
  <c r="I186" i="2"/>
  <c r="J186" i="2"/>
  <c r="H187" i="2"/>
  <c r="I187" i="2"/>
  <c r="J187" i="2"/>
  <c r="H188" i="2"/>
  <c r="I188" i="2"/>
  <c r="J188" i="2"/>
  <c r="H189" i="2"/>
  <c r="I189" i="2"/>
  <c r="J189" i="2"/>
  <c r="H190" i="2"/>
  <c r="I190" i="2"/>
  <c r="J190" i="2"/>
  <c r="H191" i="2"/>
  <c r="I191" i="2"/>
  <c r="J191" i="2"/>
  <c r="H192" i="2"/>
  <c r="I192" i="2"/>
  <c r="J192" i="2"/>
  <c r="H193" i="2"/>
  <c r="I193" i="2"/>
  <c r="J193" i="2"/>
  <c r="H194" i="2"/>
  <c r="I194" i="2"/>
  <c r="J194" i="2"/>
  <c r="H195" i="2"/>
  <c r="I195" i="2"/>
  <c r="J195" i="2"/>
  <c r="H196" i="2"/>
  <c r="I196" i="2"/>
  <c r="J196" i="2"/>
  <c r="H197" i="2"/>
  <c r="I197" i="2"/>
  <c r="J197" i="2"/>
  <c r="H198" i="2"/>
  <c r="I198" i="2"/>
  <c r="J198" i="2"/>
  <c r="H199" i="2"/>
  <c r="I199" i="2"/>
  <c r="J199" i="2"/>
  <c r="H200" i="2"/>
  <c r="I200" i="2"/>
  <c r="J200" i="2"/>
  <c r="H201" i="2"/>
  <c r="I201" i="2"/>
  <c r="J201" i="2"/>
  <c r="J2" i="2"/>
  <c r="I2" i="2"/>
  <c r="H2" i="2"/>
  <c r="B35" i="3"/>
  <c r="C35" i="3" s="1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B13" i="3"/>
  <c r="H7" i="3"/>
  <c r="D7" i="3"/>
  <c r="B7" i="3"/>
  <c r="B3" i="3"/>
  <c r="C2" i="4"/>
  <c r="F7" i="3" l="1"/>
  <c r="D13" i="3"/>
  <c r="C13" i="3"/>
  <c r="B14" i="3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3" l="1"/>
  <c r="D14" i="3"/>
  <c r="B15" i="3"/>
  <c r="C15" i="3" l="1"/>
  <c r="D15" i="3"/>
  <c r="B16" i="3"/>
  <c r="B17" i="3" l="1"/>
  <c r="C16" i="3"/>
  <c r="D16" i="3"/>
  <c r="B18" i="3" l="1"/>
  <c r="C17" i="3"/>
  <c r="D17" i="3"/>
  <c r="C18" i="3" l="1"/>
  <c r="D18" i="3"/>
  <c r="B19" i="3"/>
  <c r="D19" i="3" l="1"/>
  <c r="B20" i="3"/>
  <c r="C19" i="3"/>
  <c r="C20" i="3" l="1"/>
  <c r="D20" i="3"/>
  <c r="B21" i="3"/>
  <c r="B22" i="3" l="1"/>
  <c r="C21" i="3"/>
  <c r="D21" i="3"/>
  <c r="D22" i="3" l="1"/>
  <c r="C22" i="3"/>
  <c r="B23" i="3"/>
  <c r="B24" i="3" l="1"/>
  <c r="C23" i="3"/>
  <c r="D23" i="3"/>
  <c r="C24" i="3" l="1"/>
  <c r="D24" i="3"/>
</calcChain>
</file>

<file path=xl/sharedStrings.xml><?xml version="1.0" encoding="utf-8"?>
<sst xmlns="http://schemas.openxmlformats.org/spreadsheetml/2006/main" count="1852" uniqueCount="251">
  <si>
    <t>Date</t>
  </si>
  <si>
    <t>Description</t>
  </si>
  <si>
    <t>Amount</t>
  </si>
  <si>
    <t>Account</t>
  </si>
  <si>
    <t>Category</t>
  </si>
  <si>
    <t>Type</t>
  </si>
  <si>
    <t>Reference</t>
  </si>
  <si>
    <t>Rent</t>
  </si>
  <si>
    <t>Checking</t>
  </si>
  <si>
    <t>Debit</t>
  </si>
  <si>
    <t>TXN1001</t>
  </si>
  <si>
    <t>Office Depot</t>
  </si>
  <si>
    <t>Credit Card</t>
  </si>
  <si>
    <t>TXN1016</t>
  </si>
  <si>
    <t>Uber</t>
  </si>
  <si>
    <t>TXN1012</t>
  </si>
  <si>
    <t>Client Payment</t>
  </si>
  <si>
    <t>Credit</t>
  </si>
  <si>
    <t>TXN1010</t>
  </si>
  <si>
    <t>Stripe Payout</t>
  </si>
  <si>
    <t>TXN1007</t>
  </si>
  <si>
    <t>Payroll</t>
  </si>
  <si>
    <t>TXN1002</t>
  </si>
  <si>
    <t>TXN1006</t>
  </si>
  <si>
    <t>TXN1011</t>
  </si>
  <si>
    <t>TXN1013</t>
  </si>
  <si>
    <t>TXN1005</t>
  </si>
  <si>
    <t>TXN1008</t>
  </si>
  <si>
    <t>Bank Fee</t>
  </si>
  <si>
    <t>TXN1015</t>
  </si>
  <si>
    <t>TXN1017</t>
  </si>
  <si>
    <t>TXN1003</t>
  </si>
  <si>
    <t>TXN1004</t>
  </si>
  <si>
    <t>TXN1009</t>
  </si>
  <si>
    <t>Google Ads</t>
  </si>
  <si>
    <t>TXN1014</t>
  </si>
  <si>
    <t>TXN1021</t>
  </si>
  <si>
    <t>TXN1033</t>
  </si>
  <si>
    <t>TXN1025</t>
  </si>
  <si>
    <t>TXN1023</t>
  </si>
  <si>
    <t>TXN1031</t>
  </si>
  <si>
    <t>Slack Subscription</t>
  </si>
  <si>
    <t>TXN1027</t>
  </si>
  <si>
    <t>TXN1028</t>
  </si>
  <si>
    <t>TXN1019</t>
  </si>
  <si>
    <t>TXN1029</t>
  </si>
  <si>
    <t>TXN1026</t>
  </si>
  <si>
    <t>Software Subscription</t>
  </si>
  <si>
    <t>TXN1030</t>
  </si>
  <si>
    <t>TXN1032</t>
  </si>
  <si>
    <t>TXN1018</t>
  </si>
  <si>
    <t>TXN1024</t>
  </si>
  <si>
    <t>TXN1022</t>
  </si>
  <si>
    <t>TXN1020</t>
  </si>
  <si>
    <t>TXN1038</t>
  </si>
  <si>
    <t>TXN1040</t>
  </si>
  <si>
    <t>TXN1043</t>
  </si>
  <si>
    <t>TXN1045</t>
  </si>
  <si>
    <t>TXN1037</t>
  </si>
  <si>
    <t>TXN1050</t>
  </si>
  <si>
    <t>TXN1039</t>
  </si>
  <si>
    <t>TXN1034</t>
  </si>
  <si>
    <t>TXN1036</t>
  </si>
  <si>
    <t>TXN1035</t>
  </si>
  <si>
    <t>TXN1041</t>
  </si>
  <si>
    <t>Amazon Web Services</t>
  </si>
  <si>
    <t>TXN1046</t>
  </si>
  <si>
    <t>TXN1047</t>
  </si>
  <si>
    <t>TXN1044</t>
  </si>
  <si>
    <t>TXN1049</t>
  </si>
  <si>
    <t>Interest Income</t>
  </si>
  <si>
    <t>TXN1042</t>
  </si>
  <si>
    <t>TXN1048</t>
  </si>
  <si>
    <t>TXN1057</t>
  </si>
  <si>
    <t>TXN1054</t>
  </si>
  <si>
    <t>TXN1064</t>
  </si>
  <si>
    <t>TXN1060</t>
  </si>
  <si>
    <t>TXN1061</t>
  </si>
  <si>
    <t>TXN1056</t>
  </si>
  <si>
    <t>TXN1066</t>
  </si>
  <si>
    <t>TXN1053</t>
  </si>
  <si>
    <t>TXN1065</t>
  </si>
  <si>
    <t>TXN1063</t>
  </si>
  <si>
    <t>TXN1059</t>
  </si>
  <si>
    <t>TXN1062</t>
  </si>
  <si>
    <t>TXN1051</t>
  </si>
  <si>
    <t>TXN1058</t>
  </si>
  <si>
    <t>TXN1055</t>
  </si>
  <si>
    <t>TXN1052</t>
  </si>
  <si>
    <t>TXN1069</t>
  </si>
  <si>
    <t>TXN1077</t>
  </si>
  <si>
    <t>TXN1070</t>
  </si>
  <si>
    <t>TXN1083</t>
  </si>
  <si>
    <t>TXN1080</t>
  </si>
  <si>
    <t>TXN1074</t>
  </si>
  <si>
    <t>TXN1079</t>
  </si>
  <si>
    <t>TXN1068</t>
  </si>
  <si>
    <t>TXN1073</t>
  </si>
  <si>
    <t>TXN1075</t>
  </si>
  <si>
    <t>TXN1081</t>
  </si>
  <si>
    <t>TXN1082</t>
  </si>
  <si>
    <t>TXN1071</t>
  </si>
  <si>
    <t>TXN1067</t>
  </si>
  <si>
    <t>TXN1076</t>
  </si>
  <si>
    <t>TXN1078</t>
  </si>
  <si>
    <t>TXN1072</t>
  </si>
  <si>
    <t>TXN1089</t>
  </si>
  <si>
    <t>TXN1094</t>
  </si>
  <si>
    <t>TXN1095</t>
  </si>
  <si>
    <t>TXN1096</t>
  </si>
  <si>
    <t>TXN1098</t>
  </si>
  <si>
    <t>TXN1085</t>
  </si>
  <si>
    <t>TXN1093</t>
  </si>
  <si>
    <t>TXN1088</t>
  </si>
  <si>
    <t>TXN1087</t>
  </si>
  <si>
    <t>TXN1092</t>
  </si>
  <si>
    <t>TXN1091</t>
  </si>
  <si>
    <t>TXN1090</t>
  </si>
  <si>
    <t>TXN1084</t>
  </si>
  <si>
    <t>TXN1086</t>
  </si>
  <si>
    <t>TXN1099</t>
  </si>
  <si>
    <t>TXN1097</t>
  </si>
  <si>
    <t>TXN1109</t>
  </si>
  <si>
    <t>TXN1116</t>
  </si>
  <si>
    <t>TXN1110</t>
  </si>
  <si>
    <t>TXN1107</t>
  </si>
  <si>
    <t>TXN1111</t>
  </si>
  <si>
    <t>TXN1105</t>
  </si>
  <si>
    <t>TXN1108</t>
  </si>
  <si>
    <t>TXN1113</t>
  </si>
  <si>
    <t>TXN1101</t>
  </si>
  <si>
    <t>TXN1104</t>
  </si>
  <si>
    <t>TXN1103</t>
  </si>
  <si>
    <t>TXN1115</t>
  </si>
  <si>
    <t>TXN1100</t>
  </si>
  <si>
    <t>TXN1106</t>
  </si>
  <si>
    <t>TXN1114</t>
  </si>
  <si>
    <t>TXN1102</t>
  </si>
  <si>
    <t>TXN1112</t>
  </si>
  <si>
    <t>TXN1120</t>
  </si>
  <si>
    <t>TXN1129</t>
  </si>
  <si>
    <t>TXN1132</t>
  </si>
  <si>
    <t>TXN1127</t>
  </si>
  <si>
    <t>TXN1122</t>
  </si>
  <si>
    <t>TXN1119</t>
  </si>
  <si>
    <t>TXN1121</t>
  </si>
  <si>
    <t>TXN1123</t>
  </si>
  <si>
    <t>TXN1130</t>
  </si>
  <si>
    <t>TXN1131</t>
  </si>
  <si>
    <t>TXN1128</t>
  </si>
  <si>
    <t>TXN1126</t>
  </si>
  <si>
    <t>TXN1125</t>
  </si>
  <si>
    <t>TXN1124</t>
  </si>
  <si>
    <t>TXN1133</t>
  </si>
  <si>
    <t>TXN1117</t>
  </si>
  <si>
    <t>TXN1118</t>
  </si>
  <si>
    <t>TXN1134</t>
  </si>
  <si>
    <t>TXN1141</t>
  </si>
  <si>
    <t>TXN1135</t>
  </si>
  <si>
    <t>TXN1139</t>
  </si>
  <si>
    <t>TXN1145</t>
  </si>
  <si>
    <t>TXN1147</t>
  </si>
  <si>
    <t>TXN1143</t>
  </si>
  <si>
    <t>TXN1146</t>
  </si>
  <si>
    <t>TXN1144</t>
  </si>
  <si>
    <t>TXN1148</t>
  </si>
  <si>
    <t>TXN1138</t>
  </si>
  <si>
    <t>TXN1136</t>
  </si>
  <si>
    <t>TXN1137</t>
  </si>
  <si>
    <t>TXN1149</t>
  </si>
  <si>
    <t>TXN1140</t>
  </si>
  <si>
    <t>TXN1142</t>
  </si>
  <si>
    <t>TXN1157</t>
  </si>
  <si>
    <t>TXN1166</t>
  </si>
  <si>
    <t>TXN1158</t>
  </si>
  <si>
    <t>TXN1164</t>
  </si>
  <si>
    <t>TXN1156</t>
  </si>
  <si>
    <t>TXN1161</t>
  </si>
  <si>
    <t>TXN1150</t>
  </si>
  <si>
    <t>TXN1165</t>
  </si>
  <si>
    <t>TXN1159</t>
  </si>
  <si>
    <t>TXN1155</t>
  </si>
  <si>
    <t>TXN1162</t>
  </si>
  <si>
    <t>TXN1160</t>
  </si>
  <si>
    <t>TXN1163</t>
  </si>
  <si>
    <t>TXN1151</t>
  </si>
  <si>
    <t>TXN1153</t>
  </si>
  <si>
    <t>TXN1152</t>
  </si>
  <si>
    <t>TXN1154</t>
  </si>
  <si>
    <t>TXN1179</t>
  </si>
  <si>
    <t>TXN1171</t>
  </si>
  <si>
    <t>TXN1167</t>
  </si>
  <si>
    <t>TXN1183</t>
  </si>
  <si>
    <t>TXN1181</t>
  </si>
  <si>
    <t>TXN1180</t>
  </si>
  <si>
    <t>TXN1170</t>
  </si>
  <si>
    <t>TXN1169</t>
  </si>
  <si>
    <t>TXN1172</t>
  </si>
  <si>
    <t>TXN1176</t>
  </si>
  <si>
    <t>TXN1173</t>
  </si>
  <si>
    <t>TXN1175</t>
  </si>
  <si>
    <t>TXN1178</t>
  </si>
  <si>
    <t>TXN1182</t>
  </si>
  <si>
    <t>TXN1177</t>
  </si>
  <si>
    <t>TXN1168</t>
  </si>
  <si>
    <t>TXN1174</t>
  </si>
  <si>
    <t>TXN1184</t>
  </si>
  <si>
    <t>TXN1186</t>
  </si>
  <si>
    <t>TXN1187</t>
  </si>
  <si>
    <t>TXN1199</t>
  </si>
  <si>
    <t>TXN1194</t>
  </si>
  <si>
    <t>TXN1195</t>
  </si>
  <si>
    <t>TXN1198</t>
  </si>
  <si>
    <t>TXN1197</t>
  </si>
  <si>
    <t>TXN1188</t>
  </si>
  <si>
    <t>TXN1191</t>
  </si>
  <si>
    <t>TXN1190</t>
  </si>
  <si>
    <t>TXN1196</t>
  </si>
  <si>
    <t>TXN1185</t>
  </si>
  <si>
    <t>TXN1192</t>
  </si>
  <si>
    <t>TXN1193</t>
  </si>
  <si>
    <t>TXN1200</t>
  </si>
  <si>
    <t>TXN1189</t>
  </si>
  <si>
    <t>MonthKey</t>
  </si>
  <si>
    <t>Sign</t>
  </si>
  <si>
    <t>CleanDescription</t>
  </si>
  <si>
    <t>Rent Expense</t>
  </si>
  <si>
    <t>Office Supplies</t>
  </si>
  <si>
    <t>Travel</t>
  </si>
  <si>
    <t>Revenue</t>
  </si>
  <si>
    <t>Payroll Expense</t>
  </si>
  <si>
    <t>Bank Fees</t>
  </si>
  <si>
    <t>Marketing</t>
  </si>
  <si>
    <t>Software</t>
  </si>
  <si>
    <t>Monthly Financial Dashboard</t>
  </si>
  <si>
    <t>Selected Month</t>
  </si>
  <si>
    <t>Total Revenue</t>
  </si>
  <si>
    <t>Total Expenses</t>
  </si>
  <si>
    <t>Net Income</t>
  </si>
  <si>
    <t>Transactions</t>
  </si>
  <si>
    <t>Month</t>
  </si>
  <si>
    <t>Expenses</t>
  </si>
  <si>
    <t>Top 5 Expense Transactions</t>
  </si>
  <si>
    <t>Problem:</t>
  </si>
  <si>
    <t>Workflow:</t>
  </si>
  <si>
    <t>Features:</t>
  </si>
  <si>
    <t>Time Saved:</t>
  </si>
  <si>
    <t>Screenshots:</t>
  </si>
  <si>
    <t>ExpexnseCategory</t>
  </si>
  <si>
    <t>MonthList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</si>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</sst>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\ yyyy"/>
    <numFmt numFmtId="165" formatCode="mm/dd/yyyy"/>
    <numFmt numFmtId="166" formatCode="mmmm\ yyyy"/>
    <numFmt numFmtId="167" formatCode="&quot;$&quot;#,##0.0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i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5" fillId="3" borderId="0" xfId="0" applyFont="1" applyFill="1" applyAlignment="1">
      <alignment horizontal="center"/>
    </xf>
    <xf numFmtId="0" fontId="0" fillId="0" borderId="1" xfId="0" applyBorder="1"/>
    <xf numFmtId="0" fontId="1" fillId="7" borderId="1" xfId="0" applyFont="1" applyFill="1" applyBorder="1" applyAlignment="1">
      <alignment horizontal="center"/>
    </xf>
    <xf numFmtId="165" fontId="0" fillId="0" borderId="1" xfId="0" applyNumberFormat="1" applyBorder="1"/>
    <xf numFmtId="167" fontId="0" fillId="0" borderId="1" xfId="0" applyNumberFormat="1" applyBorder="1"/>
    <xf numFmtId="49" fontId="0" fillId="0" borderId="0" xfId="0" applyNumberFormat="1"/>
    <xf numFmtId="164" fontId="0" fillId="0" borderId="1" xfId="0" applyNumberFormat="1" applyBorder="1"/>
    <xf numFmtId="0" fontId="0" fillId="2" borderId="2" xfId="0" applyFill="1" applyBorder="1"/>
    <xf numFmtId="0" fontId="0" fillId="0" borderId="2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14" fontId="0" fillId="0" borderId="4" xfId="0" applyNumberFormat="1" applyBorder="1"/>
    <xf numFmtId="49" fontId="0" fillId="0" borderId="2" xfId="0" applyNumberFormat="1" applyBorder="1"/>
    <xf numFmtId="49" fontId="0" fillId="0" borderId="3" xfId="0" applyNumberFormat="1" applyBorder="1"/>
    <xf numFmtId="14" fontId="0" fillId="2" borderId="4" xfId="0" applyNumberFormat="1" applyFill="1" applyBorder="1"/>
    <xf numFmtId="0" fontId="5" fillId="3" borderId="1" xfId="0" applyFont="1" applyFill="1" applyBorder="1" applyAlignment="1">
      <alignment horizontal="center"/>
    </xf>
    <xf numFmtId="1" fontId="6" fillId="6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166" fontId="0" fillId="0" borderId="5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6" fillId="4" borderId="5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167" fontId="6" fillId="5" borderId="5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167" fontId="6" fillId="3" borderId="5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</cellXfs>
  <cellStyles count="1">
    <cellStyle name="Normal" xfId="0" builtinId="0"/>
  </cellStyles>
  <dxfs count="19">
    <dxf>
      <numFmt numFmtId="164" formatCode="mmm\ yyyy"/>
    </dxf>
    <dxf>
      <numFmt numFmtId="164" formatCode="mmm\ yyyy"/>
    </dxf>
    <dxf>
      <numFmt numFmtId="0" formatCode="General"/>
    </dxf>
    <dxf>
      <numFmt numFmtId="0" formatCode="General"/>
    </dxf>
    <dxf>
      <numFmt numFmtId="166" formatCode="m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m/d/yyyy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font>
        <color rgb="FFFFFFFF"/>
      </font>
      <fill>
        <patternFill>
          <bgColor rgb="FF1F4E79"/>
        </patternFill>
      </fill>
    </dxf>
    <dxf>
      <font>
        <color rgb="FFFFFFFF"/>
      </font>
      <fill>
        <patternFill>
          <bgColor rgb="FF9C0006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vs Expenses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Summary!$C$12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cat>
            <c:numRef>
              <c:f>Summary!$B$13:$B$24</c:f>
              <c:numCache>
                <c:formatCode>mmm\ yyyy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Summary!$C$13:$C$24</c:f>
              <c:numCache>
                <c:formatCode>"$"#,##0.00</c:formatCode>
                <c:ptCount val="12"/>
                <c:pt idx="0">
                  <c:v>27992.46</c:v>
                </c:pt>
                <c:pt idx="1">
                  <c:v>28922.12</c:v>
                </c:pt>
                <c:pt idx="2">
                  <c:v>18557.399999999998</c:v>
                </c:pt>
                <c:pt idx="3">
                  <c:v>41907.089999999997</c:v>
                </c:pt>
                <c:pt idx="4">
                  <c:v>22292.440000000002</c:v>
                </c:pt>
                <c:pt idx="5">
                  <c:v>52996.13</c:v>
                </c:pt>
                <c:pt idx="6">
                  <c:v>37960.699999999997</c:v>
                </c:pt>
                <c:pt idx="7">
                  <c:v>28036.190000000002</c:v>
                </c:pt>
                <c:pt idx="8">
                  <c:v>27782.78</c:v>
                </c:pt>
                <c:pt idx="9">
                  <c:v>36250.81</c:v>
                </c:pt>
                <c:pt idx="10">
                  <c:v>49276.42</c:v>
                </c:pt>
                <c:pt idx="11">
                  <c:v>22717.649999999998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8-4C4F-BDCF-C2A5C4A459A3}"/>
            </c:ext>
          </c:extLst>
        </c:ser>
        <c:ser>
          <c:idx val="1"/>
          <c:order val="1"/>
          <c:tx>
            <c:strRef>
              <c:f>Summary!$D$12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numRef>
              <c:f>Summary!$B$13:$B$24</c:f>
              <c:numCache>
                <c:formatCode>mmm\ yyyy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Summary!$D$13:$D$24</c:f>
              <c:numCache>
                <c:formatCode>"$"#,##0.00</c:formatCode>
                <c:ptCount val="12"/>
                <c:pt idx="0">
                  <c:v>5351.03</c:v>
                </c:pt>
                <c:pt idx="1">
                  <c:v>10245.420000000002</c:v>
                </c:pt>
                <c:pt idx="2">
                  <c:v>12070.09</c:v>
                </c:pt>
                <c:pt idx="3">
                  <c:v>7960.1399999999994</c:v>
                </c:pt>
                <c:pt idx="4">
                  <c:v>7848.449999999998</c:v>
                </c:pt>
                <c:pt idx="5">
                  <c:v>6438.13</c:v>
                </c:pt>
                <c:pt idx="6">
                  <c:v>8687.68</c:v>
                </c:pt>
                <c:pt idx="7">
                  <c:v>15297.279999999999</c:v>
                </c:pt>
                <c:pt idx="8">
                  <c:v>9074.82</c:v>
                </c:pt>
                <c:pt idx="9">
                  <c:v>11887.439999999999</c:v>
                </c:pt>
                <c:pt idx="10">
                  <c:v>15961.75</c:v>
                </c:pt>
                <c:pt idx="11">
                  <c:v>7562.59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88-4C4F-BDCF-C2A5C4A45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291135"/>
        <c:axId val="1081290655"/>
      </c:barChart>
      <c:dateAx>
        <c:axId val="1081291135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1081290655"/>
        <c:crosses val="autoZero"/>
        <c:auto val="1"/>
        <c:lblOffset val="100"/>
        <c:baseTimeUnit val="months"/>
      </c:dateAx>
      <c:valAx>
        <c:axId val="1081290655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08129113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Expense Breakdown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Summary!$C$27</c:f>
              <c:strCache>
                <c:ptCount val="1"/>
                <c:pt idx="0">
                  <c:v>Amount</c:v>
                </c:pt>
              </c:strCache>
            </c:strRef>
          </c:tx>
          <c:cat>
            <c:strRef>
              <c:f>Summary!$B$28:$B$35</c:f>
              <c:strCache>
                <c:ptCount val="8"/>
                <c:pt idx="0">
                  <c:v>Rent Expense</c:v>
                </c:pt>
                <c:pt idx="1">
                  <c:v>Payroll Expense</c:v>
                </c:pt>
                <c:pt idx="2">
                  <c:v>Software</c:v>
                </c:pt>
                <c:pt idx="3">
                  <c:v>Marketing</c:v>
                </c:pt>
                <c:pt idx="4">
                  <c:v>Travel</c:v>
                </c:pt>
                <c:pt idx="5">
                  <c:v>Office Supplies</c:v>
                </c:pt>
                <c:pt idx="6">
                  <c:v>Bank Fees</c:v>
                </c:pt>
                <c:pt idx="7">
                  <c:v>Other</c:v>
                </c:pt>
              </c:strCache>
            </c:strRef>
          </c:cat>
          <c:val>
            <c:numRef>
              <c:f>Summary!$C$28:$C$35</c:f>
              <c:numCache>
                <c:formatCode>"$"#,##0.00</c:formatCode>
                <c:ptCount val="8"/>
                <c:pt idx="0">
                  <c:v>2197.84</c:v>
                </c:pt>
                <c:pt idx="1">
                  <c:v>2907.16</c:v>
                </c:pt>
                <c:pt idx="2">
                  <c:v>408.95</c:v>
                </c:pt>
                <c:pt idx="3">
                  <c:v>1928.38</c:v>
                </c:pt>
                <c:pt idx="4">
                  <c:v>28.65</c:v>
                </c:pt>
                <c:pt idx="5">
                  <c:v>307.66000000000003</c:v>
                </c:pt>
                <c:pt idx="6">
                  <c:v>69.81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4-4A44-816D-A4D1317D6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709083</xdr:colOff>
      <xdr:row>0</xdr:row>
      <xdr:rowOff>137584</xdr:rowOff>
    </xdr:from>
    <xdr:to>
      <xdr:col>13</xdr:col>
      <xdr:colOff>10583</xdr:colOff>
      <xdr:row>3</xdr:row>
      <xdr:rowOff>10584</xdr:rowOff>
    </xdr:to>
    <xdr:sp macro="[0]!Generate_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970657-096C-53E2-7BB5-25710E029191}"/>
            </a:ext>
          </a:extLst>
        </xdr:cNvPr>
        <xdr:cNvSpPr/>
      </xdr:nvSpPr>
      <xdr:spPr>
        <a:xfrm>
          <a:off x="10096500" y="137584"/>
          <a:ext cx="1026583" cy="613833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Generate Report</a:t>
          </a:r>
        </a:p>
      </xdr:txBody>
    </xdr:sp>
    <xdr:clientData/>
  </xdr:twoCellAnchor>
  <xdr:twoCellAnchor>
    <xdr:from>
      <xdr:col>13</xdr:col>
      <xdr:colOff>190501</xdr:colOff>
      <xdr:row>0</xdr:row>
      <xdr:rowOff>31749</xdr:rowOff>
    </xdr:from>
    <xdr:to>
      <xdr:col>14</xdr:col>
      <xdr:colOff>592668</xdr:colOff>
      <xdr:row>3</xdr:row>
      <xdr:rowOff>126999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B84B4DA-5D8E-68E1-9D1B-69CBF25E3014}"/>
            </a:ext>
          </a:extLst>
        </xdr:cNvPr>
        <xdr:cNvSpPr/>
      </xdr:nvSpPr>
      <xdr:spPr>
        <a:xfrm>
          <a:off x="11303001" y="31749"/>
          <a:ext cx="1016000" cy="836083"/>
        </a:xfrm>
        <a:prstGeom prst="roundRect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>
                  <a:lumMod val="65000"/>
                </a:schemeClr>
              </a:solidFill>
            </a:rPr>
            <a:t>Company Logo Here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11</xdr:col>
      <xdr:colOff>209550</xdr:colOff>
      <xdr:row>25</xdr:row>
      <xdr:rowOff>63500</xdr:rowOff>
    </xdr:to>
    <xdr:graphicFrame macro="">
      <xdr:nvGraphicFramePr>
        <xdr:cNvPr id="26" name="chtRevenueExpenses">
          <a:extLst>
            <a:ext uri="{FF2B5EF4-FFF2-40B4-BE49-F238E27FC236}">
              <a16:creationId xmlns:a16="http://schemas.microsoft.com/office/drawing/2014/main" id="{DF3EBC07-DEB2-32B4-6C7B-2DFE91E53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26</xdr:row>
      <xdr:rowOff>0</xdr:rowOff>
    </xdr:from>
    <xdr:to>
      <xdr:col>8</xdr:col>
      <xdr:colOff>212725</xdr:colOff>
      <xdr:row>42</xdr:row>
      <xdr:rowOff>0</xdr:rowOff>
    </xdr:to>
    <xdr:graphicFrame macro="">
      <xdr:nvGraphicFramePr>
        <xdr:cNvPr id="27" name="chtExpenseBreakdown">
          <a:extLst>
            <a:ext uri="{FF2B5EF4-FFF2-40B4-BE49-F238E27FC236}">
              <a16:creationId xmlns:a16="http://schemas.microsoft.com/office/drawing/2014/main" id="{A4213F67-6BBD-AD3F-D006-FEA309525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0EB824B-3F41-4D6F-82C9-D83E9DD31F13}" name="tblRaw" displayName="tblRaw" ref="A1:G201" totalsRowShown="0">
  <autoFilter ref="A1:G201" xr:uid="{C0EB824B-3F41-4D6F-82C9-D83E9DD31F13}"/>
  <tableColumns count="7">
    <tableColumn id="1" xr3:uid="{B607ABAA-C380-4A42-8681-11655AA17CDB}" name="Date" dataDxfId="16"/>
    <tableColumn id="2" xr3:uid="{8CA7E918-2B5F-460E-8629-5260AF2CE699}" name="Description" dataDxfId="15"/>
    <tableColumn id="3" xr3:uid="{27515B1C-A227-47A0-894A-9387CABCBA4B}" name="Amount"/>
    <tableColumn id="4" xr3:uid="{5476A282-147A-4182-9C01-573BD6582658}" name="Account" dataDxfId="14"/>
    <tableColumn id="5" xr3:uid="{F3914A34-EA49-4608-A033-C38BF754E94B}" name="Category"/>
    <tableColumn id="6" xr3:uid="{36064021-6FBF-4800-9F9A-B13FA6141E2E}" name="Type" dataDxfId="13"/>
    <tableColumn id="7" xr3:uid="{559D4EA8-FE28-4DCD-A07D-A93991B6A864}" name="Reference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55CFE5F-60EC-4E4E-9FE0-3E4A505E9975}" name="tblCat" displayName="tblCat" ref="A1:J201" totalsRowShown="0">
  <autoFilter ref="A1:J201" xr:uid="{955CFE5F-60EC-4E4E-9FE0-3E4A505E9975}"/>
  <tableColumns count="10">
    <tableColumn id="1" xr3:uid="{C645A91B-5B82-42B3-BF93-65A3F5BB910D}" name="Date" dataDxfId="11"/>
    <tableColumn id="2" xr3:uid="{DAD3A841-122A-432E-BDC7-9A62AD4CBC11}" name="Description" dataDxfId="10"/>
    <tableColumn id="3" xr3:uid="{CF2A1A51-4855-4378-AD9D-C62D553F2734}" name="Amount" dataDxfId="9"/>
    <tableColumn id="4" xr3:uid="{8467402C-A1AC-4D82-8A00-AC66DE4BA90B}" name="Account" dataDxfId="8"/>
    <tableColumn id="5" xr3:uid="{8D52811B-E632-4DA2-A245-09D93E77CD4E}" name="Category" dataDxfId="7"/>
    <tableColumn id="6" xr3:uid="{E4C67A35-01EA-443A-B3FD-863717E352AA}" name="Type" dataDxfId="6"/>
    <tableColumn id="7" xr3:uid="{9A3EA8A1-31BA-404A-826D-7F5934C3E0F4}" name="Reference" dataDxfId="5"/>
    <tableColumn id="8" xr3:uid="{6AB4F855-8D72-44AE-8775-813A2AAB5348}" name="MonthKey" dataDxfId="4">
      <calculatedColumnFormula>DATE(YEAR(A2),MONTH(A2),1)</calculatedColumnFormula>
    </tableColumn>
    <tableColumn id="9" xr3:uid="{0FE82338-2D3D-41A0-99C1-B648EC550972}" name="Sign" dataDxfId="3">
      <calculatedColumnFormula>IF(C2&lt;0,"Expense","Income")</calculatedColumnFormula>
    </tableColumn>
    <tableColumn id="10" xr3:uid="{B986714D-95B1-449D-B2F9-FB0E4C10C8C9}" name="CleanDescription" dataDxfId="2">
      <calculatedColumnFormula>UPPER(TRIM(B2))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AC821C-B5E2-4AEE-B381-A410BAA57656}" name="tblMonths" displayName="tblMonths" ref="C1:C13" totalsRowShown="0" dataDxfId="1">
  <autoFilter ref="C1:C13" xr:uid="{4EAC821C-B5E2-4AEE-B381-A410BAA57656}"/>
  <tableColumns count="1">
    <tableColumn id="1" xr3:uid="{5ABB0975-85B7-4AF3-9F9D-D252C7BC796E}" name="MonthList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1B1570-8666-429B-AA0B-10B87EB56114}" name="tblExpenseCategory" displayName="tblExpenseCategory" ref="A1:A9" totalsRowShown="0">
  <autoFilter ref="A1:A9" xr:uid="{481B1570-8666-429B-AA0B-10B87EB56114}"/>
  <tableColumns count="1">
    <tableColumn id="1" xr3:uid="{9AB445B1-B515-43B9-9F95-171BDE544FA8}" name="Expexnse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666-1418-4712-AD0D-9B519ECE4BC1}">
  <sheetPr codeName="Sheet1"/>
  <dimension ref="A1:G201"/>
  <sheetViews>
    <sheetView workbookViewId="0">
      <selection activeCell="C1" sqref="C1"/>
    </sheetView>
  </sheetViews>
  <sheetFormatPr defaultRowHeight="15" x14ac:dyDescent="0.25"/>
  <cols>
    <col min="1" max="1" width="10.42578125" bestFit="1" customWidth="1"/>
    <col min="2" max="2" width="20.42578125" bestFit="1" customWidth="1"/>
    <col min="3" max="3" width="10.140625" customWidth="1"/>
    <col min="4" max="4" width="10.7109375" bestFit="1" customWidth="1"/>
    <col min="5" max="5" width="11.28515625" customWidth="1"/>
    <col min="6" max="6" width="7.42578125" customWidth="1"/>
    <col min="7" max="7" width="12.5703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45658</v>
      </c>
      <c r="B2" s="9" t="s">
        <v>7</v>
      </c>
      <c r="C2">
        <v>-2008.17</v>
      </c>
      <c r="D2" s="9" t="s">
        <v>8</v>
      </c>
      <c r="F2" s="9" t="s">
        <v>9</v>
      </c>
      <c r="G2" s="9" t="s">
        <v>10</v>
      </c>
    </row>
    <row r="3" spans="1:7" x14ac:dyDescent="0.25">
      <c r="A3" s="1">
        <v>45717</v>
      </c>
      <c r="B3" s="9" t="s">
        <v>11</v>
      </c>
      <c r="C3">
        <v>-157.15</v>
      </c>
      <c r="D3" s="9" t="s">
        <v>12</v>
      </c>
      <c r="F3" s="9" t="s">
        <v>9</v>
      </c>
      <c r="G3" s="9" t="s">
        <v>13</v>
      </c>
    </row>
    <row r="4" spans="1:7" x14ac:dyDescent="0.25">
      <c r="A4" s="1">
        <v>45748</v>
      </c>
      <c r="B4" s="9" t="s">
        <v>14</v>
      </c>
      <c r="C4">
        <v>-87.86</v>
      </c>
      <c r="D4" s="9" t="s">
        <v>12</v>
      </c>
      <c r="F4" s="9" t="s">
        <v>9</v>
      </c>
      <c r="G4" s="9" t="s">
        <v>15</v>
      </c>
    </row>
    <row r="5" spans="1:7" x14ac:dyDescent="0.25">
      <c r="A5" s="1">
        <v>45809</v>
      </c>
      <c r="B5" s="9" t="s">
        <v>16</v>
      </c>
      <c r="C5">
        <v>4900.1400000000003</v>
      </c>
      <c r="D5" s="9" t="s">
        <v>8</v>
      </c>
      <c r="F5" s="9" t="s">
        <v>17</v>
      </c>
      <c r="G5" s="9" t="s">
        <v>18</v>
      </c>
    </row>
    <row r="6" spans="1:7" x14ac:dyDescent="0.25">
      <c r="A6" s="1">
        <v>45839</v>
      </c>
      <c r="B6" s="9" t="s">
        <v>19</v>
      </c>
      <c r="C6">
        <v>5881.31</v>
      </c>
      <c r="D6" s="9" t="s">
        <v>8</v>
      </c>
      <c r="F6" s="9" t="s">
        <v>17</v>
      </c>
      <c r="G6" s="9" t="s">
        <v>20</v>
      </c>
    </row>
    <row r="7" spans="1:7" x14ac:dyDescent="0.25">
      <c r="A7" s="1">
        <v>45870</v>
      </c>
      <c r="B7" s="9" t="s">
        <v>21</v>
      </c>
      <c r="C7">
        <v>-3158.45</v>
      </c>
      <c r="D7" s="9" t="s">
        <v>8</v>
      </c>
      <c r="F7" s="9" t="s">
        <v>9</v>
      </c>
      <c r="G7" s="9" t="s">
        <v>22</v>
      </c>
    </row>
    <row r="8" spans="1:7" x14ac:dyDescent="0.25">
      <c r="A8" s="1">
        <v>45870</v>
      </c>
      <c r="B8" s="9" t="s">
        <v>19</v>
      </c>
      <c r="C8">
        <v>4680.53</v>
      </c>
      <c r="D8" s="9" t="s">
        <v>8</v>
      </c>
      <c r="F8" s="9" t="s">
        <v>17</v>
      </c>
      <c r="G8" s="9" t="s">
        <v>23</v>
      </c>
    </row>
    <row r="9" spans="1:7" x14ac:dyDescent="0.25">
      <c r="A9" s="1">
        <v>45901</v>
      </c>
      <c r="B9" s="9" t="s">
        <v>14</v>
      </c>
      <c r="C9">
        <v>-83.03</v>
      </c>
      <c r="D9" s="9" t="s">
        <v>12</v>
      </c>
      <c r="F9" s="9" t="s">
        <v>9</v>
      </c>
      <c r="G9" s="9" t="s">
        <v>24</v>
      </c>
    </row>
    <row r="10" spans="1:7" x14ac:dyDescent="0.25">
      <c r="A10" s="1">
        <v>45992</v>
      </c>
      <c r="B10" s="9" t="s">
        <v>21</v>
      </c>
      <c r="C10">
        <v>-2844.01</v>
      </c>
      <c r="D10" s="9" t="s">
        <v>8</v>
      </c>
      <c r="F10" s="9" t="s">
        <v>9</v>
      </c>
      <c r="G10" s="9" t="s">
        <v>25</v>
      </c>
    </row>
    <row r="11" spans="1:7" x14ac:dyDescent="0.25">
      <c r="A11" s="1">
        <v>45671</v>
      </c>
      <c r="B11" s="9" t="s">
        <v>19</v>
      </c>
      <c r="C11">
        <v>1981.16</v>
      </c>
      <c r="D11" s="9" t="s">
        <v>8</v>
      </c>
      <c r="F11" s="9" t="s">
        <v>17</v>
      </c>
      <c r="G11" s="9" t="s">
        <v>26</v>
      </c>
    </row>
    <row r="12" spans="1:7" x14ac:dyDescent="0.25">
      <c r="A12" s="1">
        <v>45671</v>
      </c>
      <c r="B12" s="9" t="s">
        <v>16</v>
      </c>
      <c r="C12">
        <v>2368.34</v>
      </c>
      <c r="D12" s="9" t="s">
        <v>8</v>
      </c>
      <c r="F12" s="9" t="s">
        <v>17</v>
      </c>
      <c r="G12" s="9" t="s">
        <v>27</v>
      </c>
    </row>
    <row r="13" spans="1:7" x14ac:dyDescent="0.25">
      <c r="A13" s="1">
        <v>45675</v>
      </c>
      <c r="B13" s="9" t="s">
        <v>28</v>
      </c>
      <c r="C13">
        <v>-40.880000000000003</v>
      </c>
      <c r="D13" s="9" t="s">
        <v>8</v>
      </c>
      <c r="F13" s="9" t="s">
        <v>9</v>
      </c>
      <c r="G13" s="9" t="s">
        <v>29</v>
      </c>
    </row>
    <row r="14" spans="1:7" x14ac:dyDescent="0.25">
      <c r="A14" s="1">
        <v>45676</v>
      </c>
      <c r="B14" s="9" t="s">
        <v>14</v>
      </c>
      <c r="C14">
        <v>-80.19</v>
      </c>
      <c r="D14" s="9" t="s">
        <v>12</v>
      </c>
      <c r="F14" s="9" t="s">
        <v>9</v>
      </c>
      <c r="G14" s="9" t="s">
        <v>30</v>
      </c>
    </row>
    <row r="15" spans="1:7" x14ac:dyDescent="0.25">
      <c r="A15" s="1">
        <v>45681</v>
      </c>
      <c r="B15" s="9" t="s">
        <v>19</v>
      </c>
      <c r="C15">
        <v>3504.45</v>
      </c>
      <c r="D15" s="9" t="s">
        <v>8</v>
      </c>
      <c r="F15" s="9" t="s">
        <v>17</v>
      </c>
      <c r="G15" s="9" t="s">
        <v>31</v>
      </c>
    </row>
    <row r="16" spans="1:7" x14ac:dyDescent="0.25">
      <c r="A16" s="1">
        <v>45681</v>
      </c>
      <c r="B16" s="9" t="s">
        <v>19</v>
      </c>
      <c r="C16">
        <v>6885.42</v>
      </c>
      <c r="D16" s="9" t="s">
        <v>8</v>
      </c>
      <c r="F16" s="9" t="s">
        <v>17</v>
      </c>
      <c r="G16" s="9" t="s">
        <v>32</v>
      </c>
    </row>
    <row r="17" spans="1:7" x14ac:dyDescent="0.25">
      <c r="A17" s="1">
        <v>45683</v>
      </c>
      <c r="B17" s="9" t="s">
        <v>16</v>
      </c>
      <c r="C17">
        <v>5807.29</v>
      </c>
      <c r="D17" s="9" t="s">
        <v>8</v>
      </c>
      <c r="F17" s="9" t="s">
        <v>17</v>
      </c>
      <c r="G17" s="9" t="s">
        <v>33</v>
      </c>
    </row>
    <row r="18" spans="1:7" x14ac:dyDescent="0.25">
      <c r="A18" s="1">
        <v>45683</v>
      </c>
      <c r="B18" s="9" t="s">
        <v>34</v>
      </c>
      <c r="C18">
        <v>-1158.72</v>
      </c>
      <c r="D18" s="9" t="s">
        <v>8</v>
      </c>
      <c r="F18" s="9" t="s">
        <v>9</v>
      </c>
      <c r="G18" s="9" t="s">
        <v>35</v>
      </c>
    </row>
    <row r="19" spans="1:7" x14ac:dyDescent="0.25">
      <c r="A19" s="1">
        <v>45749</v>
      </c>
      <c r="B19" s="9" t="s">
        <v>19</v>
      </c>
      <c r="C19">
        <v>3966.72</v>
      </c>
      <c r="D19" s="9" t="s">
        <v>8</v>
      </c>
      <c r="F19" s="9" t="s">
        <v>17</v>
      </c>
      <c r="G19" s="9" t="s">
        <v>36</v>
      </c>
    </row>
    <row r="20" spans="1:7" x14ac:dyDescent="0.25">
      <c r="A20" s="1">
        <v>45779</v>
      </c>
      <c r="B20" s="9" t="s">
        <v>34</v>
      </c>
      <c r="C20">
        <v>-965.7</v>
      </c>
      <c r="D20" s="9" t="s">
        <v>8</v>
      </c>
      <c r="F20" s="9" t="s">
        <v>9</v>
      </c>
      <c r="G20" s="9" t="s">
        <v>37</v>
      </c>
    </row>
    <row r="21" spans="1:7" x14ac:dyDescent="0.25">
      <c r="A21" s="1">
        <v>45810</v>
      </c>
      <c r="B21" s="9" t="s">
        <v>16</v>
      </c>
      <c r="C21">
        <v>4030.94</v>
      </c>
      <c r="D21" s="9" t="s">
        <v>8</v>
      </c>
      <c r="F21" s="9" t="s">
        <v>17</v>
      </c>
      <c r="G21" s="9" t="s">
        <v>38</v>
      </c>
    </row>
    <row r="22" spans="1:7" x14ac:dyDescent="0.25">
      <c r="A22" s="1">
        <v>45840</v>
      </c>
      <c r="B22" s="9" t="s">
        <v>19</v>
      </c>
      <c r="C22">
        <v>5620</v>
      </c>
      <c r="D22" s="9" t="s">
        <v>8</v>
      </c>
      <c r="F22" s="9" t="s">
        <v>17</v>
      </c>
      <c r="G22" s="9" t="s">
        <v>39</v>
      </c>
    </row>
    <row r="23" spans="1:7" x14ac:dyDescent="0.25">
      <c r="A23" s="1">
        <v>45840</v>
      </c>
      <c r="B23" s="9" t="s">
        <v>14</v>
      </c>
      <c r="C23">
        <v>-44.53</v>
      </c>
      <c r="D23" s="9" t="s">
        <v>12</v>
      </c>
      <c r="F23" s="9" t="s">
        <v>9</v>
      </c>
      <c r="G23" s="9" t="s">
        <v>40</v>
      </c>
    </row>
    <row r="24" spans="1:7" x14ac:dyDescent="0.25">
      <c r="A24" s="1">
        <v>45871</v>
      </c>
      <c r="B24" s="9" t="s">
        <v>41</v>
      </c>
      <c r="C24">
        <v>-58.38</v>
      </c>
      <c r="D24" s="9" t="s">
        <v>8</v>
      </c>
      <c r="F24" s="9" t="s">
        <v>9</v>
      </c>
      <c r="G24" s="9" t="s">
        <v>42</v>
      </c>
    </row>
    <row r="25" spans="1:7" x14ac:dyDescent="0.25">
      <c r="A25" s="1">
        <v>45871</v>
      </c>
      <c r="B25" s="9" t="s">
        <v>7</v>
      </c>
      <c r="C25">
        <v>-1906.92</v>
      </c>
      <c r="D25" s="9" t="s">
        <v>8</v>
      </c>
      <c r="F25" s="9" t="s">
        <v>9</v>
      </c>
      <c r="G25" s="9" t="s">
        <v>43</v>
      </c>
    </row>
    <row r="26" spans="1:7" x14ac:dyDescent="0.25">
      <c r="A26" s="1">
        <v>45932</v>
      </c>
      <c r="B26" s="9" t="s">
        <v>21</v>
      </c>
      <c r="C26">
        <v>-3672.1</v>
      </c>
      <c r="D26" s="9" t="s">
        <v>8</v>
      </c>
      <c r="F26" s="9" t="s">
        <v>9</v>
      </c>
      <c r="G26" s="9" t="s">
        <v>44</v>
      </c>
    </row>
    <row r="27" spans="1:7" x14ac:dyDescent="0.25">
      <c r="A27" s="1">
        <v>45701</v>
      </c>
      <c r="B27" s="9" t="s">
        <v>14</v>
      </c>
      <c r="C27">
        <v>-74.38</v>
      </c>
      <c r="D27" s="9" t="s">
        <v>12</v>
      </c>
      <c r="F27" s="9" t="s">
        <v>9</v>
      </c>
      <c r="G27" s="9" t="s">
        <v>45</v>
      </c>
    </row>
    <row r="28" spans="1:7" x14ac:dyDescent="0.25">
      <c r="A28" s="1">
        <v>45703</v>
      </c>
      <c r="B28" s="9" t="s">
        <v>19</v>
      </c>
      <c r="C28">
        <v>3962.9</v>
      </c>
      <c r="D28" s="9" t="s">
        <v>8</v>
      </c>
      <c r="F28" s="9" t="s">
        <v>17</v>
      </c>
      <c r="G28" s="9" t="s">
        <v>46</v>
      </c>
    </row>
    <row r="29" spans="1:7" x14ac:dyDescent="0.25">
      <c r="A29" s="1">
        <v>45707</v>
      </c>
      <c r="B29" s="9" t="s">
        <v>47</v>
      </c>
      <c r="C29">
        <v>-61.69</v>
      </c>
      <c r="D29" s="9" t="s">
        <v>8</v>
      </c>
      <c r="F29" s="9" t="s">
        <v>9</v>
      </c>
      <c r="G29" s="9" t="s">
        <v>48</v>
      </c>
    </row>
    <row r="30" spans="1:7" x14ac:dyDescent="0.25">
      <c r="A30" s="1">
        <v>45709</v>
      </c>
      <c r="B30" s="9" t="s">
        <v>11</v>
      </c>
      <c r="C30">
        <v>-184.64</v>
      </c>
      <c r="D30" s="9" t="s">
        <v>12</v>
      </c>
      <c r="F30" s="9" t="s">
        <v>9</v>
      </c>
      <c r="G30" s="9" t="s">
        <v>49</v>
      </c>
    </row>
    <row r="31" spans="1:7" x14ac:dyDescent="0.25">
      <c r="A31" s="1">
        <v>45710</v>
      </c>
      <c r="B31" s="9" t="s">
        <v>7</v>
      </c>
      <c r="C31">
        <v>-2179.13</v>
      </c>
      <c r="D31" s="9" t="s">
        <v>8</v>
      </c>
      <c r="F31" s="9" t="s">
        <v>9</v>
      </c>
      <c r="G31" s="9" t="s">
        <v>50</v>
      </c>
    </row>
    <row r="32" spans="1:7" x14ac:dyDescent="0.25">
      <c r="A32" s="1">
        <v>45710</v>
      </c>
      <c r="B32" s="9" t="s">
        <v>16</v>
      </c>
      <c r="C32">
        <v>4634.59</v>
      </c>
      <c r="D32" s="9" t="s">
        <v>8</v>
      </c>
      <c r="F32" s="9" t="s">
        <v>17</v>
      </c>
      <c r="G32" s="9" t="s">
        <v>51</v>
      </c>
    </row>
    <row r="33" spans="1:7" x14ac:dyDescent="0.25">
      <c r="A33" s="1">
        <v>45715</v>
      </c>
      <c r="B33" s="9" t="s">
        <v>19</v>
      </c>
      <c r="C33">
        <v>3879.54</v>
      </c>
      <c r="D33" s="9" t="s">
        <v>8</v>
      </c>
      <c r="F33" s="9" t="s">
        <v>17</v>
      </c>
      <c r="G33" s="9" t="s">
        <v>52</v>
      </c>
    </row>
    <row r="34" spans="1:7" x14ac:dyDescent="0.25">
      <c r="A34" s="1">
        <v>45716</v>
      </c>
      <c r="B34" s="9" t="s">
        <v>19</v>
      </c>
      <c r="C34">
        <v>6933.5</v>
      </c>
      <c r="D34" s="9" t="s">
        <v>8</v>
      </c>
      <c r="F34" s="9" t="s">
        <v>17</v>
      </c>
      <c r="G34" s="9" t="s">
        <v>53</v>
      </c>
    </row>
    <row r="35" spans="1:7" x14ac:dyDescent="0.25">
      <c r="A35" s="1">
        <v>45691</v>
      </c>
      <c r="B35" s="9" t="s">
        <v>19</v>
      </c>
      <c r="C35">
        <v>6708.29</v>
      </c>
      <c r="D35" s="9" t="s">
        <v>8</v>
      </c>
      <c r="F35" s="9" t="s">
        <v>17</v>
      </c>
      <c r="G35" s="9" t="s">
        <v>54</v>
      </c>
    </row>
    <row r="36" spans="1:7" x14ac:dyDescent="0.25">
      <c r="A36" s="1">
        <v>45719</v>
      </c>
      <c r="B36" s="9" t="s">
        <v>19</v>
      </c>
      <c r="C36">
        <v>3993.17</v>
      </c>
      <c r="D36" s="9" t="s">
        <v>8</v>
      </c>
      <c r="F36" s="9" t="s">
        <v>17</v>
      </c>
      <c r="G36" s="9" t="s">
        <v>55</v>
      </c>
    </row>
    <row r="37" spans="1:7" x14ac:dyDescent="0.25">
      <c r="A37" s="1">
        <v>45750</v>
      </c>
      <c r="B37" s="9" t="s">
        <v>16</v>
      </c>
      <c r="C37">
        <v>4813.0600000000004</v>
      </c>
      <c r="D37" s="9" t="s">
        <v>8</v>
      </c>
      <c r="F37" s="9" t="s">
        <v>17</v>
      </c>
      <c r="G37" s="9" t="s">
        <v>56</v>
      </c>
    </row>
    <row r="38" spans="1:7" x14ac:dyDescent="0.25">
      <c r="A38" s="1">
        <v>45750</v>
      </c>
      <c r="B38" s="9" t="s">
        <v>14</v>
      </c>
      <c r="C38">
        <v>-72.400000000000006</v>
      </c>
      <c r="D38" s="9" t="s">
        <v>12</v>
      </c>
      <c r="F38" s="9" t="s">
        <v>9</v>
      </c>
      <c r="G38" s="9" t="s">
        <v>57</v>
      </c>
    </row>
    <row r="39" spans="1:7" x14ac:dyDescent="0.25">
      <c r="A39" s="1">
        <v>45780</v>
      </c>
      <c r="B39" s="9" t="s">
        <v>19</v>
      </c>
      <c r="C39">
        <v>4704.3</v>
      </c>
      <c r="D39" s="9" t="s">
        <v>8</v>
      </c>
      <c r="F39" s="9" t="s">
        <v>17</v>
      </c>
      <c r="G39" s="9" t="s">
        <v>58</v>
      </c>
    </row>
    <row r="40" spans="1:7" x14ac:dyDescent="0.25">
      <c r="A40" s="1">
        <v>45780</v>
      </c>
      <c r="B40" s="9" t="s">
        <v>47</v>
      </c>
      <c r="C40">
        <v>-129.52000000000001</v>
      </c>
      <c r="D40" s="9" t="s">
        <v>8</v>
      </c>
      <c r="F40" s="9" t="s">
        <v>9</v>
      </c>
      <c r="G40" s="9" t="s">
        <v>59</v>
      </c>
    </row>
    <row r="41" spans="1:7" x14ac:dyDescent="0.25">
      <c r="A41" s="1">
        <v>45811</v>
      </c>
      <c r="B41" s="9" t="s">
        <v>19</v>
      </c>
      <c r="C41">
        <v>6314.85</v>
      </c>
      <c r="D41" s="9" t="s">
        <v>8</v>
      </c>
      <c r="F41" s="9" t="s">
        <v>17</v>
      </c>
      <c r="G41" s="9" t="s">
        <v>60</v>
      </c>
    </row>
    <row r="42" spans="1:7" x14ac:dyDescent="0.25">
      <c r="A42" s="1">
        <v>45903</v>
      </c>
      <c r="B42" s="9" t="s">
        <v>7</v>
      </c>
      <c r="C42">
        <v>-2031.59</v>
      </c>
      <c r="D42" s="9" t="s">
        <v>8</v>
      </c>
      <c r="F42" s="9" t="s">
        <v>9</v>
      </c>
      <c r="G42" s="9" t="s">
        <v>61</v>
      </c>
    </row>
    <row r="43" spans="1:7" x14ac:dyDescent="0.25">
      <c r="A43" s="1">
        <v>45729</v>
      </c>
      <c r="B43" s="9" t="s">
        <v>19</v>
      </c>
      <c r="C43">
        <v>6540.2</v>
      </c>
      <c r="D43" s="9" t="s">
        <v>8</v>
      </c>
      <c r="F43" s="9" t="s">
        <v>17</v>
      </c>
      <c r="G43" s="9" t="s">
        <v>62</v>
      </c>
    </row>
    <row r="44" spans="1:7" x14ac:dyDescent="0.25">
      <c r="A44" s="1">
        <v>45730</v>
      </c>
      <c r="B44" s="9" t="s">
        <v>21</v>
      </c>
      <c r="C44">
        <v>-3152.99</v>
      </c>
      <c r="D44" s="9" t="s">
        <v>8</v>
      </c>
      <c r="F44" s="9" t="s">
        <v>9</v>
      </c>
      <c r="G44" s="9" t="s">
        <v>63</v>
      </c>
    </row>
    <row r="45" spans="1:7" x14ac:dyDescent="0.25">
      <c r="A45" s="1">
        <v>45731</v>
      </c>
      <c r="B45" s="9" t="s">
        <v>16</v>
      </c>
      <c r="C45">
        <v>4004.31</v>
      </c>
      <c r="D45" s="9" t="s">
        <v>8</v>
      </c>
      <c r="F45" s="9" t="s">
        <v>17</v>
      </c>
      <c r="G45" s="9" t="s">
        <v>64</v>
      </c>
    </row>
    <row r="46" spans="1:7" x14ac:dyDescent="0.25">
      <c r="A46" s="1">
        <v>45731</v>
      </c>
      <c r="B46" s="9" t="s">
        <v>65</v>
      </c>
      <c r="C46">
        <v>-259.38</v>
      </c>
      <c r="D46" s="9" t="s">
        <v>8</v>
      </c>
      <c r="F46" s="9" t="s">
        <v>9</v>
      </c>
      <c r="G46" s="9" t="s">
        <v>66</v>
      </c>
    </row>
    <row r="47" spans="1:7" x14ac:dyDescent="0.25">
      <c r="A47" s="1">
        <v>45733</v>
      </c>
      <c r="B47" s="9" t="s">
        <v>34</v>
      </c>
      <c r="C47">
        <v>-476.14</v>
      </c>
      <c r="D47" s="9" t="s">
        <v>8</v>
      </c>
      <c r="F47" s="9" t="s">
        <v>9</v>
      </c>
      <c r="G47" s="9" t="s">
        <v>67</v>
      </c>
    </row>
    <row r="48" spans="1:7" x14ac:dyDescent="0.25">
      <c r="A48" s="1">
        <v>45741</v>
      </c>
      <c r="B48" s="9" t="s">
        <v>41</v>
      </c>
      <c r="C48">
        <v>-95.99</v>
      </c>
      <c r="D48" s="9" t="s">
        <v>8</v>
      </c>
      <c r="F48" s="9" t="s">
        <v>9</v>
      </c>
      <c r="G48" s="9" t="s">
        <v>68</v>
      </c>
    </row>
    <row r="49" spans="1:7" x14ac:dyDescent="0.25">
      <c r="A49" s="1">
        <v>45743</v>
      </c>
      <c r="B49" s="9" t="s">
        <v>34</v>
      </c>
      <c r="C49">
        <v>-593</v>
      </c>
      <c r="D49" s="9" t="s">
        <v>8</v>
      </c>
      <c r="F49" s="9" t="s">
        <v>9</v>
      </c>
      <c r="G49" s="9" t="s">
        <v>69</v>
      </c>
    </row>
    <row r="50" spans="1:7" x14ac:dyDescent="0.25">
      <c r="A50" s="1">
        <v>45744</v>
      </c>
      <c r="B50" s="9" t="s">
        <v>70</v>
      </c>
      <c r="C50">
        <v>52.29</v>
      </c>
      <c r="D50" s="9" t="s">
        <v>8</v>
      </c>
      <c r="F50" s="9" t="s">
        <v>17</v>
      </c>
      <c r="G50" s="9" t="s">
        <v>71</v>
      </c>
    </row>
    <row r="51" spans="1:7" x14ac:dyDescent="0.25">
      <c r="A51" s="1">
        <v>45746</v>
      </c>
      <c r="B51" s="9" t="s">
        <v>41</v>
      </c>
      <c r="C51">
        <v>-110.42</v>
      </c>
      <c r="D51" s="9" t="s">
        <v>8</v>
      </c>
      <c r="F51" s="9" t="s">
        <v>9</v>
      </c>
      <c r="G51" s="9" t="s">
        <v>72</v>
      </c>
    </row>
    <row r="52" spans="1:7" x14ac:dyDescent="0.25">
      <c r="A52" s="1">
        <v>45720</v>
      </c>
      <c r="B52" s="9" t="s">
        <v>70</v>
      </c>
      <c r="C52">
        <v>42.4</v>
      </c>
      <c r="D52" s="9" t="s">
        <v>8</v>
      </c>
      <c r="F52" s="9" t="s">
        <v>17</v>
      </c>
      <c r="G52" s="9" t="s">
        <v>73</v>
      </c>
    </row>
    <row r="53" spans="1:7" x14ac:dyDescent="0.25">
      <c r="A53" s="1">
        <v>45751</v>
      </c>
      <c r="B53" s="9" t="s">
        <v>19</v>
      </c>
      <c r="C53">
        <v>7095.86</v>
      </c>
      <c r="D53" s="9" t="s">
        <v>8</v>
      </c>
      <c r="F53" s="9" t="s">
        <v>17</v>
      </c>
      <c r="G53" s="9" t="s">
        <v>74</v>
      </c>
    </row>
    <row r="54" spans="1:7" x14ac:dyDescent="0.25">
      <c r="A54" s="1">
        <v>45751</v>
      </c>
      <c r="B54" s="9" t="s">
        <v>28</v>
      </c>
      <c r="C54">
        <v>-36.82</v>
      </c>
      <c r="D54" s="9" t="s">
        <v>8</v>
      </c>
      <c r="F54" s="9" t="s">
        <v>9</v>
      </c>
      <c r="G54" s="9" t="s">
        <v>75</v>
      </c>
    </row>
    <row r="55" spans="1:7" x14ac:dyDescent="0.25">
      <c r="A55" s="1">
        <v>45812</v>
      </c>
      <c r="B55" s="9" t="s">
        <v>41</v>
      </c>
      <c r="C55">
        <v>-96.14</v>
      </c>
      <c r="D55" s="9" t="s">
        <v>8</v>
      </c>
      <c r="F55" s="9" t="s">
        <v>9</v>
      </c>
      <c r="G55" s="9" t="s">
        <v>76</v>
      </c>
    </row>
    <row r="56" spans="1:7" x14ac:dyDescent="0.25">
      <c r="A56" s="1">
        <v>45842</v>
      </c>
      <c r="B56" s="9" t="s">
        <v>11</v>
      </c>
      <c r="C56">
        <v>-45.97</v>
      </c>
      <c r="D56" s="9" t="s">
        <v>12</v>
      </c>
      <c r="F56" s="9" t="s">
        <v>9</v>
      </c>
      <c r="G56" s="9" t="s">
        <v>77</v>
      </c>
    </row>
    <row r="57" spans="1:7" x14ac:dyDescent="0.25">
      <c r="A57" s="1">
        <v>45873</v>
      </c>
      <c r="B57" s="9" t="s">
        <v>19</v>
      </c>
      <c r="C57">
        <v>6804.65</v>
      </c>
      <c r="D57" s="9" t="s">
        <v>8</v>
      </c>
      <c r="F57" s="9" t="s">
        <v>17</v>
      </c>
      <c r="G57" s="9" t="s">
        <v>78</v>
      </c>
    </row>
    <row r="58" spans="1:7" x14ac:dyDescent="0.25">
      <c r="A58" s="1">
        <v>45873</v>
      </c>
      <c r="B58" s="9" t="s">
        <v>41</v>
      </c>
      <c r="C58">
        <v>-67.040000000000006</v>
      </c>
      <c r="D58" s="9" t="s">
        <v>8</v>
      </c>
      <c r="F58" s="9" t="s">
        <v>9</v>
      </c>
      <c r="G58" s="9" t="s">
        <v>79</v>
      </c>
    </row>
    <row r="59" spans="1:7" x14ac:dyDescent="0.25">
      <c r="A59" s="1">
        <v>45965</v>
      </c>
      <c r="B59" s="9" t="s">
        <v>19</v>
      </c>
      <c r="C59">
        <v>2502.5700000000002</v>
      </c>
      <c r="D59" s="9" t="s">
        <v>8</v>
      </c>
      <c r="F59" s="9" t="s">
        <v>17</v>
      </c>
      <c r="G59" s="9" t="s">
        <v>80</v>
      </c>
    </row>
    <row r="60" spans="1:7" x14ac:dyDescent="0.25">
      <c r="A60" s="1">
        <v>45965</v>
      </c>
      <c r="B60" s="9" t="s">
        <v>21</v>
      </c>
      <c r="C60">
        <v>-4166.3500000000004</v>
      </c>
      <c r="D60" s="9" t="s">
        <v>8</v>
      </c>
      <c r="F60" s="9" t="s">
        <v>9</v>
      </c>
      <c r="G60" s="9" t="s">
        <v>81</v>
      </c>
    </row>
    <row r="61" spans="1:7" x14ac:dyDescent="0.25">
      <c r="A61" s="1">
        <v>45762</v>
      </c>
      <c r="B61" s="9" t="s">
        <v>14</v>
      </c>
      <c r="C61">
        <v>-25.73</v>
      </c>
      <c r="D61" s="9" t="s">
        <v>12</v>
      </c>
      <c r="F61" s="9" t="s">
        <v>9</v>
      </c>
      <c r="G61" s="9" t="s">
        <v>82</v>
      </c>
    </row>
    <row r="62" spans="1:7" x14ac:dyDescent="0.25">
      <c r="A62" s="1">
        <v>45769</v>
      </c>
      <c r="B62" s="9" t="s">
        <v>19</v>
      </c>
      <c r="C62">
        <v>4509.1099999999997</v>
      </c>
      <c r="D62" s="9" t="s">
        <v>8</v>
      </c>
      <c r="F62" s="9" t="s">
        <v>17</v>
      </c>
      <c r="G62" s="9" t="s">
        <v>83</v>
      </c>
    </row>
    <row r="63" spans="1:7" x14ac:dyDescent="0.25">
      <c r="A63" s="1">
        <v>45770</v>
      </c>
      <c r="B63" s="9" t="s">
        <v>47</v>
      </c>
      <c r="C63">
        <v>-137.91999999999999</v>
      </c>
      <c r="D63" s="9" t="s">
        <v>8</v>
      </c>
      <c r="F63" s="9" t="s">
        <v>9</v>
      </c>
      <c r="G63" s="9" t="s">
        <v>84</v>
      </c>
    </row>
    <row r="64" spans="1:7" x14ac:dyDescent="0.25">
      <c r="A64" s="1">
        <v>45772</v>
      </c>
      <c r="B64" s="9" t="s">
        <v>7</v>
      </c>
      <c r="C64">
        <v>-2151.54</v>
      </c>
      <c r="D64" s="9" t="s">
        <v>8</v>
      </c>
      <c r="F64" s="9" t="s">
        <v>9</v>
      </c>
      <c r="G64" s="9" t="s">
        <v>85</v>
      </c>
    </row>
    <row r="65" spans="1:7" x14ac:dyDescent="0.25">
      <c r="A65" s="1">
        <v>45772</v>
      </c>
      <c r="B65" s="9" t="s">
        <v>16</v>
      </c>
      <c r="C65">
        <v>4023.34</v>
      </c>
      <c r="D65" s="9" t="s">
        <v>8</v>
      </c>
      <c r="F65" s="9" t="s">
        <v>17</v>
      </c>
      <c r="G65" s="9" t="s">
        <v>86</v>
      </c>
    </row>
    <row r="66" spans="1:7" x14ac:dyDescent="0.25">
      <c r="A66" s="1">
        <v>45774</v>
      </c>
      <c r="B66" s="9" t="s">
        <v>16</v>
      </c>
      <c r="C66">
        <v>5475.91</v>
      </c>
      <c r="D66" s="9" t="s">
        <v>8</v>
      </c>
      <c r="F66" s="9" t="s">
        <v>17</v>
      </c>
      <c r="G66" s="9" t="s">
        <v>87</v>
      </c>
    </row>
    <row r="67" spans="1:7" x14ac:dyDescent="0.25">
      <c r="A67" s="1">
        <v>45777</v>
      </c>
      <c r="B67" s="9" t="s">
        <v>21</v>
      </c>
      <c r="C67">
        <v>-2977.57</v>
      </c>
      <c r="D67" s="9" t="s">
        <v>8</v>
      </c>
      <c r="F67" s="9" t="s">
        <v>9</v>
      </c>
      <c r="G67" s="9" t="s">
        <v>88</v>
      </c>
    </row>
    <row r="68" spans="1:7" x14ac:dyDescent="0.25">
      <c r="A68" s="1">
        <v>45693</v>
      </c>
      <c r="B68" s="9" t="s">
        <v>19</v>
      </c>
      <c r="C68">
        <v>2803.3</v>
      </c>
      <c r="D68" s="9" t="s">
        <v>8</v>
      </c>
      <c r="F68" s="9" t="s">
        <v>17</v>
      </c>
      <c r="G68" s="9" t="s">
        <v>89</v>
      </c>
    </row>
    <row r="69" spans="1:7" x14ac:dyDescent="0.25">
      <c r="A69" s="1">
        <v>45693</v>
      </c>
      <c r="B69" s="9" t="s">
        <v>21</v>
      </c>
      <c r="C69">
        <v>-3555.81</v>
      </c>
      <c r="D69" s="9" t="s">
        <v>8</v>
      </c>
      <c r="F69" s="9" t="s">
        <v>9</v>
      </c>
      <c r="G69" s="9" t="s">
        <v>90</v>
      </c>
    </row>
    <row r="70" spans="1:7" x14ac:dyDescent="0.25">
      <c r="A70" s="1">
        <v>45721</v>
      </c>
      <c r="B70" s="9" t="s">
        <v>16</v>
      </c>
      <c r="C70">
        <v>3925.03</v>
      </c>
      <c r="D70" s="9" t="s">
        <v>8</v>
      </c>
      <c r="F70" s="9" t="s">
        <v>17</v>
      </c>
      <c r="G70" s="9" t="s">
        <v>91</v>
      </c>
    </row>
    <row r="71" spans="1:7" x14ac:dyDescent="0.25">
      <c r="A71" s="1">
        <v>45752</v>
      </c>
      <c r="B71" s="9" t="s">
        <v>41</v>
      </c>
      <c r="C71">
        <v>-115.45</v>
      </c>
      <c r="D71" s="9" t="s">
        <v>8</v>
      </c>
      <c r="F71" s="9" t="s">
        <v>9</v>
      </c>
      <c r="G71" s="9" t="s">
        <v>92</v>
      </c>
    </row>
    <row r="72" spans="1:7" x14ac:dyDescent="0.25">
      <c r="A72" s="1">
        <v>45782</v>
      </c>
      <c r="B72" s="9" t="s">
        <v>28</v>
      </c>
      <c r="C72">
        <v>-31.08</v>
      </c>
      <c r="D72" s="9" t="s">
        <v>8</v>
      </c>
      <c r="F72" s="9" t="s">
        <v>9</v>
      </c>
      <c r="G72" s="9" t="s">
        <v>93</v>
      </c>
    </row>
    <row r="73" spans="1:7" x14ac:dyDescent="0.25">
      <c r="A73" s="1">
        <v>45843</v>
      </c>
      <c r="B73" s="9" t="s">
        <v>16</v>
      </c>
      <c r="C73">
        <v>1699.93</v>
      </c>
      <c r="D73" s="9" t="s">
        <v>8</v>
      </c>
      <c r="F73" s="9" t="s">
        <v>17</v>
      </c>
      <c r="G73" s="9" t="s">
        <v>94</v>
      </c>
    </row>
    <row r="74" spans="1:7" x14ac:dyDescent="0.25">
      <c r="A74" s="1">
        <v>45843</v>
      </c>
      <c r="B74" s="9" t="s">
        <v>47</v>
      </c>
      <c r="C74">
        <v>-154.32</v>
      </c>
      <c r="D74" s="9" t="s">
        <v>8</v>
      </c>
      <c r="F74" s="9" t="s">
        <v>9</v>
      </c>
      <c r="G74" s="9" t="s">
        <v>95</v>
      </c>
    </row>
    <row r="75" spans="1:7" x14ac:dyDescent="0.25">
      <c r="A75" s="1">
        <v>45874</v>
      </c>
      <c r="B75" s="9" t="s">
        <v>21</v>
      </c>
      <c r="C75">
        <v>-3268.9</v>
      </c>
      <c r="D75" s="9" t="s">
        <v>8</v>
      </c>
      <c r="F75" s="9" t="s">
        <v>9</v>
      </c>
      <c r="G75" s="9" t="s">
        <v>96</v>
      </c>
    </row>
    <row r="76" spans="1:7" x14ac:dyDescent="0.25">
      <c r="A76" s="1">
        <v>45874</v>
      </c>
      <c r="B76" s="9" t="s">
        <v>16</v>
      </c>
      <c r="C76">
        <v>5358.48</v>
      </c>
      <c r="D76" s="9" t="s">
        <v>8</v>
      </c>
      <c r="F76" s="9" t="s">
        <v>17</v>
      </c>
      <c r="G76" s="9" t="s">
        <v>97</v>
      </c>
    </row>
    <row r="77" spans="1:7" x14ac:dyDescent="0.25">
      <c r="A77" s="1">
        <v>45996</v>
      </c>
      <c r="B77" s="9" t="s">
        <v>16</v>
      </c>
      <c r="C77">
        <v>3444.97</v>
      </c>
      <c r="D77" s="9" t="s">
        <v>8</v>
      </c>
      <c r="F77" s="9" t="s">
        <v>17</v>
      </c>
      <c r="G77" s="9" t="s">
        <v>98</v>
      </c>
    </row>
    <row r="78" spans="1:7" x14ac:dyDescent="0.25">
      <c r="A78" s="1">
        <v>45792</v>
      </c>
      <c r="B78" s="9" t="s">
        <v>34</v>
      </c>
      <c r="C78">
        <v>-962.68</v>
      </c>
      <c r="D78" s="9" t="s">
        <v>8</v>
      </c>
      <c r="F78" s="9" t="s">
        <v>9</v>
      </c>
      <c r="G78" s="9" t="s">
        <v>99</v>
      </c>
    </row>
    <row r="79" spans="1:7" x14ac:dyDescent="0.25">
      <c r="A79" s="1">
        <v>45792</v>
      </c>
      <c r="B79" s="9" t="s">
        <v>21</v>
      </c>
      <c r="C79">
        <v>-2907.16</v>
      </c>
      <c r="D79" s="9" t="s">
        <v>8</v>
      </c>
      <c r="F79" s="9" t="s">
        <v>9</v>
      </c>
      <c r="G79" s="9" t="s">
        <v>100</v>
      </c>
    </row>
    <row r="80" spans="1:7" x14ac:dyDescent="0.25">
      <c r="A80" s="1">
        <v>45793</v>
      </c>
      <c r="B80" s="9" t="s">
        <v>19</v>
      </c>
      <c r="C80">
        <v>3021.15</v>
      </c>
      <c r="D80" s="9" t="s">
        <v>8</v>
      </c>
      <c r="F80" s="9" t="s">
        <v>17</v>
      </c>
      <c r="G80" s="9" t="s">
        <v>101</v>
      </c>
    </row>
    <row r="81" spans="1:7" x14ac:dyDescent="0.25">
      <c r="A81" s="1">
        <v>45800</v>
      </c>
      <c r="B81" s="9" t="s">
        <v>7</v>
      </c>
      <c r="C81">
        <v>-2197.84</v>
      </c>
      <c r="D81" s="9" t="s">
        <v>8</v>
      </c>
      <c r="F81" s="9" t="s">
        <v>9</v>
      </c>
      <c r="G81" s="9" t="s">
        <v>102</v>
      </c>
    </row>
    <row r="82" spans="1:7" x14ac:dyDescent="0.25">
      <c r="A82" s="1">
        <v>45801</v>
      </c>
      <c r="B82" s="9" t="s">
        <v>19</v>
      </c>
      <c r="C82">
        <v>2108.7800000000002</v>
      </c>
      <c r="D82" s="9" t="s">
        <v>8</v>
      </c>
      <c r="F82" s="9" t="s">
        <v>17</v>
      </c>
      <c r="G82" s="9" t="s">
        <v>103</v>
      </c>
    </row>
    <row r="83" spans="1:7" x14ac:dyDescent="0.25">
      <c r="A83" s="1">
        <v>45803</v>
      </c>
      <c r="B83" s="9" t="s">
        <v>14</v>
      </c>
      <c r="C83">
        <v>-28.65</v>
      </c>
      <c r="D83" s="9" t="s">
        <v>12</v>
      </c>
      <c r="F83" s="9" t="s">
        <v>9</v>
      </c>
      <c r="G83" s="9" t="s">
        <v>104</v>
      </c>
    </row>
    <row r="84" spans="1:7" x14ac:dyDescent="0.25">
      <c r="A84" s="1">
        <v>45807</v>
      </c>
      <c r="B84" s="9" t="s">
        <v>19</v>
      </c>
      <c r="C84">
        <v>6829.58</v>
      </c>
      <c r="D84" s="9" t="s">
        <v>8</v>
      </c>
      <c r="F84" s="9" t="s">
        <v>17</v>
      </c>
      <c r="G84" s="9" t="s">
        <v>105</v>
      </c>
    </row>
    <row r="85" spans="1:7" x14ac:dyDescent="0.25">
      <c r="A85" s="1">
        <v>45663</v>
      </c>
      <c r="B85" s="9" t="s">
        <v>19</v>
      </c>
      <c r="C85">
        <v>7416.26</v>
      </c>
      <c r="D85" s="9" t="s">
        <v>8</v>
      </c>
      <c r="F85" s="9" t="s">
        <v>17</v>
      </c>
      <c r="G85" s="9" t="s">
        <v>106</v>
      </c>
    </row>
    <row r="86" spans="1:7" x14ac:dyDescent="0.25">
      <c r="A86" s="1">
        <v>45694</v>
      </c>
      <c r="B86" s="9" t="s">
        <v>47</v>
      </c>
      <c r="C86">
        <v>-101.81</v>
      </c>
      <c r="D86" s="9" t="s">
        <v>8</v>
      </c>
      <c r="F86" s="9" t="s">
        <v>9</v>
      </c>
      <c r="G86" s="9" t="s">
        <v>107</v>
      </c>
    </row>
    <row r="87" spans="1:7" x14ac:dyDescent="0.25">
      <c r="A87" s="1">
        <v>45694</v>
      </c>
      <c r="B87" s="9" t="s">
        <v>41</v>
      </c>
      <c r="C87">
        <v>-52.68</v>
      </c>
      <c r="D87" s="9" t="s">
        <v>8</v>
      </c>
      <c r="F87" s="9" t="s">
        <v>9</v>
      </c>
      <c r="G87" s="9" t="s">
        <v>108</v>
      </c>
    </row>
    <row r="88" spans="1:7" x14ac:dyDescent="0.25">
      <c r="A88" s="1">
        <v>45694</v>
      </c>
      <c r="B88" s="9" t="s">
        <v>7</v>
      </c>
      <c r="C88">
        <v>-2049.4899999999998</v>
      </c>
      <c r="D88" s="9" t="s">
        <v>8</v>
      </c>
      <c r="F88" s="9" t="s">
        <v>9</v>
      </c>
      <c r="G88" s="9" t="s">
        <v>109</v>
      </c>
    </row>
    <row r="89" spans="1:7" x14ac:dyDescent="0.25">
      <c r="A89" s="1">
        <v>45694</v>
      </c>
      <c r="B89" s="9" t="s">
        <v>65</v>
      </c>
      <c r="C89">
        <v>-77.45</v>
      </c>
      <c r="D89" s="9" t="s">
        <v>8</v>
      </c>
      <c r="F89" s="9" t="s">
        <v>9</v>
      </c>
      <c r="G89" s="9" t="s">
        <v>110</v>
      </c>
    </row>
    <row r="90" spans="1:7" x14ac:dyDescent="0.25">
      <c r="A90" s="1">
        <v>45722</v>
      </c>
      <c r="B90" s="9" t="s">
        <v>21</v>
      </c>
      <c r="C90">
        <v>-3885.24</v>
      </c>
      <c r="D90" s="9" t="s">
        <v>8</v>
      </c>
      <c r="F90" s="9" t="s">
        <v>9</v>
      </c>
      <c r="G90" s="9" t="s">
        <v>111</v>
      </c>
    </row>
    <row r="91" spans="1:7" x14ac:dyDescent="0.25">
      <c r="A91" s="1">
        <v>45783</v>
      </c>
      <c r="B91" s="9" t="s">
        <v>28</v>
      </c>
      <c r="C91">
        <v>-38.729999999999997</v>
      </c>
      <c r="D91" s="9" t="s">
        <v>8</v>
      </c>
      <c r="F91" s="9" t="s">
        <v>9</v>
      </c>
      <c r="G91" s="9" t="s">
        <v>112</v>
      </c>
    </row>
    <row r="92" spans="1:7" x14ac:dyDescent="0.25">
      <c r="A92" s="1">
        <v>45821</v>
      </c>
      <c r="B92" s="9" t="s">
        <v>19</v>
      </c>
      <c r="C92">
        <v>6943.92</v>
      </c>
      <c r="D92" s="9" t="s">
        <v>8</v>
      </c>
      <c r="F92" s="9" t="s">
        <v>17</v>
      </c>
      <c r="G92" s="9" t="s">
        <v>113</v>
      </c>
    </row>
    <row r="93" spans="1:7" x14ac:dyDescent="0.25">
      <c r="A93" s="1">
        <v>45822</v>
      </c>
      <c r="B93" s="9" t="s">
        <v>19</v>
      </c>
      <c r="C93">
        <v>4568.1499999999996</v>
      </c>
      <c r="D93" s="9" t="s">
        <v>8</v>
      </c>
      <c r="F93" s="9" t="s">
        <v>17</v>
      </c>
      <c r="G93" s="9" t="s">
        <v>114</v>
      </c>
    </row>
    <row r="94" spans="1:7" x14ac:dyDescent="0.25">
      <c r="A94" s="1">
        <v>45826</v>
      </c>
      <c r="B94" s="9" t="s">
        <v>70</v>
      </c>
      <c r="C94">
        <v>39.11</v>
      </c>
      <c r="D94" s="9" t="s">
        <v>8</v>
      </c>
      <c r="F94" s="9" t="s">
        <v>17</v>
      </c>
      <c r="G94" s="9" t="s">
        <v>115</v>
      </c>
    </row>
    <row r="95" spans="1:7" x14ac:dyDescent="0.25">
      <c r="A95" s="1">
        <v>45831</v>
      </c>
      <c r="B95" s="9" t="s">
        <v>19</v>
      </c>
      <c r="C95">
        <v>7256.71</v>
      </c>
      <c r="D95" s="9" t="s">
        <v>8</v>
      </c>
      <c r="F95" s="9" t="s">
        <v>17</v>
      </c>
      <c r="G95" s="9" t="s">
        <v>116</v>
      </c>
    </row>
    <row r="96" spans="1:7" x14ac:dyDescent="0.25">
      <c r="A96" s="1">
        <v>45834</v>
      </c>
      <c r="B96" s="9" t="s">
        <v>19</v>
      </c>
      <c r="C96">
        <v>6275.24</v>
      </c>
      <c r="D96" s="9" t="s">
        <v>8</v>
      </c>
      <c r="F96" s="9" t="s">
        <v>17</v>
      </c>
      <c r="G96" s="9" t="s">
        <v>117</v>
      </c>
    </row>
    <row r="97" spans="1:7" x14ac:dyDescent="0.25">
      <c r="A97" s="1">
        <v>45835</v>
      </c>
      <c r="B97" s="9" t="s">
        <v>7</v>
      </c>
      <c r="C97">
        <v>-1900.22</v>
      </c>
      <c r="D97" s="9" t="s">
        <v>8</v>
      </c>
      <c r="F97" s="9" t="s">
        <v>9</v>
      </c>
      <c r="G97" s="9" t="s">
        <v>118</v>
      </c>
    </row>
    <row r="98" spans="1:7" x14ac:dyDescent="0.25">
      <c r="A98" s="1">
        <v>45836</v>
      </c>
      <c r="B98" s="9" t="s">
        <v>19</v>
      </c>
      <c r="C98">
        <v>6668.65</v>
      </c>
      <c r="D98" s="9" t="s">
        <v>8</v>
      </c>
      <c r="F98" s="9" t="s">
        <v>17</v>
      </c>
      <c r="G98" s="9" t="s">
        <v>119</v>
      </c>
    </row>
    <row r="99" spans="1:7" x14ac:dyDescent="0.25">
      <c r="A99" s="1">
        <v>45836</v>
      </c>
      <c r="B99" s="9" t="s">
        <v>21</v>
      </c>
      <c r="C99">
        <v>-3902.68</v>
      </c>
      <c r="D99" s="9" t="s">
        <v>8</v>
      </c>
      <c r="F99" s="9" t="s">
        <v>9</v>
      </c>
      <c r="G99" s="9" t="s">
        <v>120</v>
      </c>
    </row>
    <row r="100" spans="1:7" x14ac:dyDescent="0.25">
      <c r="A100" s="1">
        <v>45838</v>
      </c>
      <c r="B100" s="9" t="s">
        <v>41</v>
      </c>
      <c r="C100">
        <v>-43.26</v>
      </c>
      <c r="D100" s="9" t="s">
        <v>8</v>
      </c>
      <c r="F100" s="9" t="s">
        <v>9</v>
      </c>
      <c r="G100" s="9" t="s">
        <v>121</v>
      </c>
    </row>
    <row r="101" spans="1:7" x14ac:dyDescent="0.25">
      <c r="A101" s="1">
        <v>45664</v>
      </c>
      <c r="B101" s="9" t="s">
        <v>70</v>
      </c>
      <c r="C101">
        <v>29.54</v>
      </c>
      <c r="D101" s="9" t="s">
        <v>8</v>
      </c>
      <c r="F101" s="9" t="s">
        <v>17</v>
      </c>
      <c r="G101" s="9" t="s">
        <v>122</v>
      </c>
    </row>
    <row r="102" spans="1:7" x14ac:dyDescent="0.25">
      <c r="A102" s="1">
        <v>45664</v>
      </c>
      <c r="B102" s="9" t="s">
        <v>41</v>
      </c>
      <c r="C102">
        <v>-59.89</v>
      </c>
      <c r="D102" s="9" t="s">
        <v>8</v>
      </c>
      <c r="F102" s="9" t="s">
        <v>9</v>
      </c>
      <c r="G102" s="9" t="s">
        <v>123</v>
      </c>
    </row>
    <row r="103" spans="1:7" x14ac:dyDescent="0.25">
      <c r="A103" s="1">
        <v>45723</v>
      </c>
      <c r="B103" s="9" t="s">
        <v>21</v>
      </c>
      <c r="C103">
        <v>-3339.78</v>
      </c>
      <c r="D103" s="9" t="s">
        <v>8</v>
      </c>
      <c r="F103" s="9" t="s">
        <v>9</v>
      </c>
      <c r="G103" s="9" t="s">
        <v>124</v>
      </c>
    </row>
    <row r="104" spans="1:7" x14ac:dyDescent="0.25">
      <c r="A104" s="1">
        <v>45784</v>
      </c>
      <c r="B104" s="9" t="s">
        <v>19</v>
      </c>
      <c r="C104">
        <v>5628.63</v>
      </c>
      <c r="D104" s="9" t="s">
        <v>8</v>
      </c>
      <c r="F104" s="9" t="s">
        <v>17</v>
      </c>
      <c r="G104" s="9" t="s">
        <v>125</v>
      </c>
    </row>
    <row r="105" spans="1:7" x14ac:dyDescent="0.25">
      <c r="A105" s="1">
        <v>45907</v>
      </c>
      <c r="B105" s="9" t="s">
        <v>41</v>
      </c>
      <c r="C105">
        <v>-108.08</v>
      </c>
      <c r="D105" s="9" t="s">
        <v>8</v>
      </c>
      <c r="F105" s="9" t="s">
        <v>9</v>
      </c>
      <c r="G105" s="9" t="s">
        <v>126</v>
      </c>
    </row>
    <row r="106" spans="1:7" x14ac:dyDescent="0.25">
      <c r="A106" s="1">
        <v>45968</v>
      </c>
      <c r="B106" s="9" t="s">
        <v>16</v>
      </c>
      <c r="C106">
        <v>6153.94</v>
      </c>
      <c r="D106" s="9" t="s">
        <v>8</v>
      </c>
      <c r="F106" s="9" t="s">
        <v>17</v>
      </c>
      <c r="G106" s="9" t="s">
        <v>127</v>
      </c>
    </row>
    <row r="107" spans="1:7" x14ac:dyDescent="0.25">
      <c r="A107" s="1">
        <v>45968</v>
      </c>
      <c r="B107" s="9" t="s">
        <v>19</v>
      </c>
      <c r="C107">
        <v>7095.4</v>
      </c>
      <c r="D107" s="9" t="s">
        <v>8</v>
      </c>
      <c r="F107" s="9" t="s">
        <v>17</v>
      </c>
      <c r="G107" s="9" t="s">
        <v>128</v>
      </c>
    </row>
    <row r="108" spans="1:7" x14ac:dyDescent="0.25">
      <c r="A108" s="1">
        <v>45998</v>
      </c>
      <c r="B108" s="9" t="s">
        <v>47</v>
      </c>
      <c r="C108">
        <v>-141.53</v>
      </c>
      <c r="D108" s="9" t="s">
        <v>8</v>
      </c>
      <c r="F108" s="9" t="s">
        <v>9</v>
      </c>
      <c r="G108" s="9" t="s">
        <v>129</v>
      </c>
    </row>
    <row r="109" spans="1:7" x14ac:dyDescent="0.25">
      <c r="A109" s="1">
        <v>45851</v>
      </c>
      <c r="B109" s="9" t="s">
        <v>21</v>
      </c>
      <c r="C109">
        <v>-3038.18</v>
      </c>
      <c r="D109" s="9" t="s">
        <v>8</v>
      </c>
      <c r="F109" s="9" t="s">
        <v>9</v>
      </c>
      <c r="G109" s="9" t="s">
        <v>130</v>
      </c>
    </row>
    <row r="110" spans="1:7" x14ac:dyDescent="0.25">
      <c r="A110" s="1">
        <v>45852</v>
      </c>
      <c r="B110" s="9" t="s">
        <v>16</v>
      </c>
      <c r="C110">
        <v>4684.08</v>
      </c>
      <c r="D110" s="9" t="s">
        <v>8</v>
      </c>
      <c r="F110" s="9" t="s">
        <v>17</v>
      </c>
      <c r="G110" s="9" t="s">
        <v>131</v>
      </c>
    </row>
    <row r="111" spans="1:7" x14ac:dyDescent="0.25">
      <c r="A111" s="1">
        <v>45857</v>
      </c>
      <c r="B111" s="9" t="s">
        <v>16</v>
      </c>
      <c r="C111">
        <v>4350.95</v>
      </c>
      <c r="D111" s="9" t="s">
        <v>8</v>
      </c>
      <c r="F111" s="9" t="s">
        <v>17</v>
      </c>
      <c r="G111" s="9" t="s">
        <v>132</v>
      </c>
    </row>
    <row r="112" spans="1:7" x14ac:dyDescent="0.25">
      <c r="A112" s="1">
        <v>45858</v>
      </c>
      <c r="B112" s="9" t="s">
        <v>34</v>
      </c>
      <c r="C112">
        <v>-265.33999999999997</v>
      </c>
      <c r="D112" s="9" t="s">
        <v>8</v>
      </c>
      <c r="F112" s="9" t="s">
        <v>9</v>
      </c>
      <c r="G112" s="9" t="s">
        <v>133</v>
      </c>
    </row>
    <row r="113" spans="1:7" x14ac:dyDescent="0.25">
      <c r="A113" s="1">
        <v>45860</v>
      </c>
      <c r="B113" s="9" t="s">
        <v>7</v>
      </c>
      <c r="C113">
        <v>-2021.49</v>
      </c>
      <c r="D113" s="9" t="s">
        <v>8</v>
      </c>
      <c r="F113" s="9" t="s">
        <v>9</v>
      </c>
      <c r="G113" s="9" t="s">
        <v>134</v>
      </c>
    </row>
    <row r="114" spans="1:7" x14ac:dyDescent="0.25">
      <c r="A114" s="1">
        <v>45861</v>
      </c>
      <c r="B114" s="9" t="s">
        <v>19</v>
      </c>
      <c r="C114">
        <v>3590.85</v>
      </c>
      <c r="D114" s="9" t="s">
        <v>8</v>
      </c>
      <c r="F114" s="9" t="s">
        <v>17</v>
      </c>
      <c r="G114" s="9" t="s">
        <v>135</v>
      </c>
    </row>
    <row r="115" spans="1:7" x14ac:dyDescent="0.25">
      <c r="A115" s="1">
        <v>45865</v>
      </c>
      <c r="B115" s="9" t="s">
        <v>28</v>
      </c>
      <c r="C115">
        <v>-27.07</v>
      </c>
      <c r="D115" s="9" t="s">
        <v>8</v>
      </c>
      <c r="F115" s="9" t="s">
        <v>9</v>
      </c>
      <c r="G115" s="9" t="s">
        <v>136</v>
      </c>
    </row>
    <row r="116" spans="1:7" x14ac:dyDescent="0.25">
      <c r="A116" s="1">
        <v>45867</v>
      </c>
      <c r="B116" s="9" t="s">
        <v>19</v>
      </c>
      <c r="C116">
        <v>3039.49</v>
      </c>
      <c r="D116" s="9" t="s">
        <v>8</v>
      </c>
      <c r="F116" s="9" t="s">
        <v>17</v>
      </c>
      <c r="G116" s="9" t="s">
        <v>137</v>
      </c>
    </row>
    <row r="117" spans="1:7" x14ac:dyDescent="0.25">
      <c r="A117" s="1">
        <v>45867</v>
      </c>
      <c r="B117" s="9" t="s">
        <v>14</v>
      </c>
      <c r="C117">
        <v>-89.7</v>
      </c>
      <c r="D117" s="9" t="s">
        <v>12</v>
      </c>
      <c r="F117" s="9" t="s">
        <v>9</v>
      </c>
      <c r="G117" s="9" t="s">
        <v>138</v>
      </c>
    </row>
    <row r="118" spans="1:7" x14ac:dyDescent="0.25">
      <c r="A118" s="1">
        <v>45755</v>
      </c>
      <c r="B118" s="9" t="s">
        <v>19</v>
      </c>
      <c r="C118">
        <v>6031.78</v>
      </c>
      <c r="D118" s="9" t="s">
        <v>8</v>
      </c>
      <c r="F118" s="9" t="s">
        <v>17</v>
      </c>
      <c r="G118" s="9" t="s">
        <v>139</v>
      </c>
    </row>
    <row r="119" spans="1:7" x14ac:dyDescent="0.25">
      <c r="A119" s="1">
        <v>45755</v>
      </c>
      <c r="B119" s="9" t="s">
        <v>7</v>
      </c>
      <c r="C119">
        <v>-2354.85</v>
      </c>
      <c r="D119" s="9" t="s">
        <v>8</v>
      </c>
      <c r="F119" s="9" t="s">
        <v>9</v>
      </c>
      <c r="G119" s="9" t="s">
        <v>140</v>
      </c>
    </row>
    <row r="120" spans="1:7" x14ac:dyDescent="0.25">
      <c r="A120" s="1">
        <v>45785</v>
      </c>
      <c r="B120" s="9" t="s">
        <v>11</v>
      </c>
      <c r="C120">
        <v>-307.66000000000003</v>
      </c>
      <c r="D120" s="9" t="s">
        <v>12</v>
      </c>
      <c r="F120" s="9" t="s">
        <v>9</v>
      </c>
      <c r="G120" s="9" t="s">
        <v>141</v>
      </c>
    </row>
    <row r="121" spans="1:7" x14ac:dyDescent="0.25">
      <c r="A121" s="1">
        <v>45816</v>
      </c>
      <c r="B121" s="9" t="s">
        <v>34</v>
      </c>
      <c r="C121">
        <v>-495.83</v>
      </c>
      <c r="D121" s="9" t="s">
        <v>8</v>
      </c>
      <c r="F121" s="9" t="s">
        <v>9</v>
      </c>
      <c r="G121" s="9" t="s">
        <v>142</v>
      </c>
    </row>
    <row r="122" spans="1:7" x14ac:dyDescent="0.25">
      <c r="A122" s="1">
        <v>45846</v>
      </c>
      <c r="B122" s="9" t="s">
        <v>16</v>
      </c>
      <c r="C122">
        <v>4843.7299999999996</v>
      </c>
      <c r="D122" s="9" t="s">
        <v>8</v>
      </c>
      <c r="F122" s="9" t="s">
        <v>17</v>
      </c>
      <c r="G122" s="9" t="s">
        <v>143</v>
      </c>
    </row>
    <row r="123" spans="1:7" x14ac:dyDescent="0.25">
      <c r="A123" s="1">
        <v>45908</v>
      </c>
      <c r="B123" s="9" t="s">
        <v>19</v>
      </c>
      <c r="C123">
        <v>6451.57</v>
      </c>
      <c r="D123" s="9" t="s">
        <v>8</v>
      </c>
      <c r="F123" s="9" t="s">
        <v>17</v>
      </c>
      <c r="G123" s="9" t="s">
        <v>144</v>
      </c>
    </row>
    <row r="124" spans="1:7" x14ac:dyDescent="0.25">
      <c r="A124" s="1">
        <v>45938</v>
      </c>
      <c r="B124" s="9" t="s">
        <v>19</v>
      </c>
      <c r="C124">
        <v>5247.53</v>
      </c>
      <c r="D124" s="9" t="s">
        <v>8</v>
      </c>
      <c r="F124" s="9" t="s">
        <v>17</v>
      </c>
      <c r="G124" s="9" t="s">
        <v>145</v>
      </c>
    </row>
    <row r="125" spans="1:7" x14ac:dyDescent="0.25">
      <c r="A125" s="1">
        <v>45886</v>
      </c>
      <c r="B125" s="9" t="s">
        <v>16</v>
      </c>
      <c r="C125">
        <v>3789.22</v>
      </c>
      <c r="D125" s="9" t="s">
        <v>8</v>
      </c>
      <c r="F125" s="9" t="s">
        <v>17</v>
      </c>
      <c r="G125" s="9" t="s">
        <v>146</v>
      </c>
    </row>
    <row r="126" spans="1:7" x14ac:dyDescent="0.25">
      <c r="A126" s="1">
        <v>45887</v>
      </c>
      <c r="B126" s="9" t="s">
        <v>65</v>
      </c>
      <c r="C126">
        <v>-253.15</v>
      </c>
      <c r="D126" s="9" t="s">
        <v>8</v>
      </c>
      <c r="F126" s="9" t="s">
        <v>9</v>
      </c>
      <c r="G126" s="9" t="s">
        <v>147</v>
      </c>
    </row>
    <row r="127" spans="1:7" x14ac:dyDescent="0.25">
      <c r="A127" s="1">
        <v>45888</v>
      </c>
      <c r="B127" s="9" t="s">
        <v>14</v>
      </c>
      <c r="C127">
        <v>-52.46</v>
      </c>
      <c r="D127" s="9" t="s">
        <v>12</v>
      </c>
      <c r="F127" s="9" t="s">
        <v>9</v>
      </c>
      <c r="G127" s="9" t="s">
        <v>148</v>
      </c>
    </row>
    <row r="128" spans="1:7" x14ac:dyDescent="0.25">
      <c r="A128" s="1">
        <v>45892</v>
      </c>
      <c r="B128" s="9" t="s">
        <v>41</v>
      </c>
      <c r="C128">
        <v>-81.510000000000005</v>
      </c>
      <c r="D128" s="9" t="s">
        <v>8</v>
      </c>
      <c r="F128" s="9" t="s">
        <v>9</v>
      </c>
      <c r="G128" s="9" t="s">
        <v>149</v>
      </c>
    </row>
    <row r="129" spans="1:7" x14ac:dyDescent="0.25">
      <c r="A129" s="1">
        <v>45894</v>
      </c>
      <c r="B129" s="9" t="s">
        <v>19</v>
      </c>
      <c r="C129">
        <v>2545.67</v>
      </c>
      <c r="D129" s="9" t="s">
        <v>8</v>
      </c>
      <c r="F129" s="9" t="s">
        <v>17</v>
      </c>
      <c r="G129" s="9" t="s">
        <v>150</v>
      </c>
    </row>
    <row r="130" spans="1:7" x14ac:dyDescent="0.25">
      <c r="A130" s="1">
        <v>45896</v>
      </c>
      <c r="B130" s="9" t="s">
        <v>16</v>
      </c>
      <c r="C130">
        <v>2666.41</v>
      </c>
      <c r="D130" s="9" t="s">
        <v>8</v>
      </c>
      <c r="F130" s="9" t="s">
        <v>17</v>
      </c>
      <c r="G130" s="9" t="s">
        <v>151</v>
      </c>
    </row>
    <row r="131" spans="1:7" x14ac:dyDescent="0.25">
      <c r="A131" s="1">
        <v>45897</v>
      </c>
      <c r="B131" s="9" t="s">
        <v>70</v>
      </c>
      <c r="C131">
        <v>10.39</v>
      </c>
      <c r="D131" s="9" t="s">
        <v>8</v>
      </c>
      <c r="F131" s="9" t="s">
        <v>17</v>
      </c>
      <c r="G131" s="9" t="s">
        <v>152</v>
      </c>
    </row>
    <row r="132" spans="1:7" x14ac:dyDescent="0.25">
      <c r="A132" s="1">
        <v>45898</v>
      </c>
      <c r="B132" s="9" t="s">
        <v>14</v>
      </c>
      <c r="C132">
        <v>-23.15</v>
      </c>
      <c r="D132" s="9" t="s">
        <v>12</v>
      </c>
      <c r="F132" s="9" t="s">
        <v>9</v>
      </c>
      <c r="G132" s="9" t="s">
        <v>153</v>
      </c>
    </row>
    <row r="133" spans="1:7" x14ac:dyDescent="0.25">
      <c r="A133" s="1">
        <v>45899</v>
      </c>
      <c r="B133" s="9" t="s">
        <v>7</v>
      </c>
      <c r="C133">
        <v>-2033.62</v>
      </c>
      <c r="D133" s="9" t="s">
        <v>8</v>
      </c>
      <c r="F133" s="9" t="s">
        <v>9</v>
      </c>
      <c r="G133" s="9" t="s">
        <v>154</v>
      </c>
    </row>
    <row r="134" spans="1:7" x14ac:dyDescent="0.25">
      <c r="A134" s="1">
        <v>45900</v>
      </c>
      <c r="B134" s="9" t="s">
        <v>21</v>
      </c>
      <c r="C134">
        <v>-3236.61</v>
      </c>
      <c r="D134" s="9" t="s">
        <v>8</v>
      </c>
      <c r="F134" s="9" t="s">
        <v>9</v>
      </c>
      <c r="G134" s="9" t="s">
        <v>155</v>
      </c>
    </row>
    <row r="135" spans="1:7" x14ac:dyDescent="0.25">
      <c r="A135" s="1">
        <v>45697</v>
      </c>
      <c r="B135" s="9" t="s">
        <v>7</v>
      </c>
      <c r="C135">
        <v>-1908.34</v>
      </c>
      <c r="D135" s="9" t="s">
        <v>8</v>
      </c>
      <c r="F135" s="9" t="s">
        <v>9</v>
      </c>
      <c r="G135" s="9" t="s">
        <v>156</v>
      </c>
    </row>
    <row r="136" spans="1:7" x14ac:dyDescent="0.25">
      <c r="A136" s="1">
        <v>45817</v>
      </c>
      <c r="B136" s="9" t="s">
        <v>19</v>
      </c>
      <c r="C136">
        <v>5998.42</v>
      </c>
      <c r="D136" s="9" t="s">
        <v>8</v>
      </c>
      <c r="F136" s="9" t="s">
        <v>17</v>
      </c>
      <c r="G136" s="9" t="s">
        <v>157</v>
      </c>
    </row>
    <row r="137" spans="1:7" x14ac:dyDescent="0.25">
      <c r="A137" s="1">
        <v>45847</v>
      </c>
      <c r="B137" s="9" t="s">
        <v>21</v>
      </c>
      <c r="C137">
        <v>-3001.08</v>
      </c>
      <c r="D137" s="9" t="s">
        <v>8</v>
      </c>
      <c r="F137" s="9" t="s">
        <v>9</v>
      </c>
      <c r="G137" s="9" t="s">
        <v>158</v>
      </c>
    </row>
    <row r="138" spans="1:7" x14ac:dyDescent="0.25">
      <c r="A138" s="1">
        <v>45878</v>
      </c>
      <c r="B138" s="9" t="s">
        <v>70</v>
      </c>
      <c r="C138">
        <v>48.64</v>
      </c>
      <c r="D138" s="9" t="s">
        <v>8</v>
      </c>
      <c r="F138" s="9" t="s">
        <v>17</v>
      </c>
      <c r="G138" s="9" t="s">
        <v>159</v>
      </c>
    </row>
    <row r="139" spans="1:7" x14ac:dyDescent="0.25">
      <c r="A139" s="1">
        <v>45878</v>
      </c>
      <c r="B139" s="9" t="s">
        <v>28</v>
      </c>
      <c r="C139">
        <v>-38.409999999999997</v>
      </c>
      <c r="D139" s="9" t="s">
        <v>8</v>
      </c>
      <c r="F139" s="9" t="s">
        <v>9</v>
      </c>
      <c r="G139" s="9" t="s">
        <v>160</v>
      </c>
    </row>
    <row r="140" spans="1:7" x14ac:dyDescent="0.25">
      <c r="A140" s="1">
        <v>45878</v>
      </c>
      <c r="B140" s="9" t="s">
        <v>47</v>
      </c>
      <c r="C140">
        <v>-176.81</v>
      </c>
      <c r="D140" s="9" t="s">
        <v>8</v>
      </c>
      <c r="F140" s="9" t="s">
        <v>9</v>
      </c>
      <c r="G140" s="9" t="s">
        <v>161</v>
      </c>
    </row>
    <row r="141" spans="1:7" x14ac:dyDescent="0.25">
      <c r="A141" s="1">
        <v>45909</v>
      </c>
      <c r="B141" s="9" t="s">
        <v>47</v>
      </c>
      <c r="C141">
        <v>-158.51</v>
      </c>
      <c r="D141" s="9" t="s">
        <v>8</v>
      </c>
      <c r="F141" s="9" t="s">
        <v>9</v>
      </c>
      <c r="G141" s="9" t="s">
        <v>162</v>
      </c>
    </row>
    <row r="142" spans="1:7" x14ac:dyDescent="0.25">
      <c r="A142" s="1">
        <v>46000</v>
      </c>
      <c r="B142" s="9" t="s">
        <v>28</v>
      </c>
      <c r="C142">
        <v>-34.93</v>
      </c>
      <c r="D142" s="9" t="s">
        <v>8</v>
      </c>
      <c r="F142" s="9" t="s">
        <v>9</v>
      </c>
      <c r="G142" s="9" t="s">
        <v>163</v>
      </c>
    </row>
    <row r="143" spans="1:7" x14ac:dyDescent="0.25">
      <c r="A143" s="1">
        <v>45913</v>
      </c>
      <c r="B143" s="9" t="s">
        <v>21</v>
      </c>
      <c r="C143">
        <v>-2804.53</v>
      </c>
      <c r="D143" s="9" t="s">
        <v>8</v>
      </c>
      <c r="F143" s="9" t="s">
        <v>9</v>
      </c>
      <c r="G143" s="9" t="s">
        <v>164</v>
      </c>
    </row>
    <row r="144" spans="1:7" x14ac:dyDescent="0.25">
      <c r="A144" s="1">
        <v>45913</v>
      </c>
      <c r="B144" s="9" t="s">
        <v>47</v>
      </c>
      <c r="C144">
        <v>-135.68</v>
      </c>
      <c r="D144" s="9" t="s">
        <v>8</v>
      </c>
      <c r="F144" s="9" t="s">
        <v>9</v>
      </c>
      <c r="G144" s="9" t="s">
        <v>165</v>
      </c>
    </row>
    <row r="145" spans="1:7" x14ac:dyDescent="0.25">
      <c r="A145" s="1">
        <v>45920</v>
      </c>
      <c r="B145" s="9" t="s">
        <v>16</v>
      </c>
      <c r="C145">
        <v>5172.2299999999996</v>
      </c>
      <c r="D145" s="9" t="s">
        <v>8</v>
      </c>
      <c r="F145" s="9" t="s">
        <v>17</v>
      </c>
      <c r="G145" s="9" t="s">
        <v>166</v>
      </c>
    </row>
    <row r="146" spans="1:7" x14ac:dyDescent="0.25">
      <c r="A146" s="1">
        <v>45922</v>
      </c>
      <c r="B146" s="9" t="s">
        <v>19</v>
      </c>
      <c r="C146">
        <v>5569.3</v>
      </c>
      <c r="D146" s="9" t="s">
        <v>8</v>
      </c>
      <c r="F146" s="9" t="s">
        <v>17</v>
      </c>
      <c r="G146" s="9" t="s">
        <v>167</v>
      </c>
    </row>
    <row r="147" spans="1:7" x14ac:dyDescent="0.25">
      <c r="A147" s="1">
        <v>45925</v>
      </c>
      <c r="B147" s="9" t="s">
        <v>19</v>
      </c>
      <c r="C147">
        <v>4991.34</v>
      </c>
      <c r="D147" s="9" t="s">
        <v>8</v>
      </c>
      <c r="F147" s="9" t="s">
        <v>17</v>
      </c>
      <c r="G147" s="9" t="s">
        <v>168</v>
      </c>
    </row>
    <row r="148" spans="1:7" x14ac:dyDescent="0.25">
      <c r="A148" s="1">
        <v>45925</v>
      </c>
      <c r="B148" s="9" t="s">
        <v>21</v>
      </c>
      <c r="C148">
        <v>-3753.4</v>
      </c>
      <c r="D148" s="9" t="s">
        <v>8</v>
      </c>
      <c r="F148" s="9" t="s">
        <v>9</v>
      </c>
      <c r="G148" s="9" t="s">
        <v>169</v>
      </c>
    </row>
    <row r="149" spans="1:7" x14ac:dyDescent="0.25">
      <c r="A149" s="1">
        <v>45926</v>
      </c>
      <c r="B149" s="9" t="s">
        <v>70</v>
      </c>
      <c r="C149">
        <v>16.32</v>
      </c>
      <c r="D149" s="9" t="s">
        <v>8</v>
      </c>
      <c r="F149" s="9" t="s">
        <v>17</v>
      </c>
      <c r="G149" s="9" t="s">
        <v>170</v>
      </c>
    </row>
    <row r="150" spans="1:7" x14ac:dyDescent="0.25">
      <c r="A150" s="1">
        <v>45930</v>
      </c>
      <c r="B150" s="9" t="s">
        <v>19</v>
      </c>
      <c r="C150">
        <v>4146.7700000000004</v>
      </c>
      <c r="D150" s="9" t="s">
        <v>8</v>
      </c>
      <c r="F150" s="9" t="s">
        <v>17</v>
      </c>
      <c r="G150" s="9" t="s">
        <v>171</v>
      </c>
    </row>
    <row r="151" spans="1:7" x14ac:dyDescent="0.25">
      <c r="A151" s="1">
        <v>45757</v>
      </c>
      <c r="B151" s="9" t="s">
        <v>70</v>
      </c>
      <c r="C151">
        <v>26.1</v>
      </c>
      <c r="D151" s="9" t="s">
        <v>8</v>
      </c>
      <c r="F151" s="9" t="s">
        <v>17</v>
      </c>
      <c r="G151" s="9" t="s">
        <v>172</v>
      </c>
    </row>
    <row r="152" spans="1:7" x14ac:dyDescent="0.25">
      <c r="A152" s="1">
        <v>45787</v>
      </c>
      <c r="B152" s="9" t="s">
        <v>41</v>
      </c>
      <c r="C152">
        <v>-102.73</v>
      </c>
      <c r="D152" s="9" t="s">
        <v>8</v>
      </c>
      <c r="F152" s="9" t="s">
        <v>9</v>
      </c>
      <c r="G152" s="9" t="s">
        <v>173</v>
      </c>
    </row>
    <row r="153" spans="1:7" x14ac:dyDescent="0.25">
      <c r="A153" s="1">
        <v>45910</v>
      </c>
      <c r="B153" s="9" t="s">
        <v>16</v>
      </c>
      <c r="C153">
        <v>1435.25</v>
      </c>
      <c r="D153" s="9" t="s">
        <v>8</v>
      </c>
      <c r="F153" s="9" t="s">
        <v>17</v>
      </c>
      <c r="G153" s="9" t="s">
        <v>174</v>
      </c>
    </row>
    <row r="154" spans="1:7" x14ac:dyDescent="0.25">
      <c r="A154" s="1">
        <v>45940</v>
      </c>
      <c r="B154" s="9" t="s">
        <v>41</v>
      </c>
      <c r="C154">
        <v>-59.98</v>
      </c>
      <c r="D154" s="9" t="s">
        <v>8</v>
      </c>
      <c r="F154" s="9" t="s">
        <v>9</v>
      </c>
      <c r="G154" s="9" t="s">
        <v>175</v>
      </c>
    </row>
    <row r="155" spans="1:7" x14ac:dyDescent="0.25">
      <c r="A155" s="1">
        <v>45971</v>
      </c>
      <c r="B155" s="9" t="s">
        <v>16</v>
      </c>
      <c r="C155">
        <v>3512.89</v>
      </c>
      <c r="D155" s="9" t="s">
        <v>8</v>
      </c>
      <c r="F155" s="9" t="s">
        <v>17</v>
      </c>
      <c r="G155" s="9" t="s">
        <v>176</v>
      </c>
    </row>
    <row r="156" spans="1:7" x14ac:dyDescent="0.25">
      <c r="A156" s="1">
        <v>46001</v>
      </c>
      <c r="B156" s="9" t="s">
        <v>47</v>
      </c>
      <c r="C156">
        <v>-121.77</v>
      </c>
      <c r="D156" s="9" t="s">
        <v>8</v>
      </c>
      <c r="F156" s="9" t="s">
        <v>9</v>
      </c>
      <c r="G156" s="9" t="s">
        <v>177</v>
      </c>
    </row>
    <row r="157" spans="1:7" x14ac:dyDescent="0.25">
      <c r="A157" s="1">
        <v>45943</v>
      </c>
      <c r="B157" s="9" t="s">
        <v>7</v>
      </c>
      <c r="C157">
        <v>-2007.56</v>
      </c>
      <c r="D157" s="9" t="s">
        <v>8</v>
      </c>
      <c r="F157" s="9" t="s">
        <v>9</v>
      </c>
      <c r="G157" s="9" t="s">
        <v>178</v>
      </c>
    </row>
    <row r="158" spans="1:7" x14ac:dyDescent="0.25">
      <c r="A158" s="1">
        <v>45943</v>
      </c>
      <c r="B158" s="9" t="s">
        <v>14</v>
      </c>
      <c r="C158">
        <v>-41.31</v>
      </c>
      <c r="D158" s="9" t="s">
        <v>12</v>
      </c>
      <c r="F158" s="9" t="s">
        <v>9</v>
      </c>
      <c r="G158" s="9" t="s">
        <v>179</v>
      </c>
    </row>
    <row r="159" spans="1:7" x14ac:dyDescent="0.25">
      <c r="A159" s="1">
        <v>45947</v>
      </c>
      <c r="B159" s="9" t="s">
        <v>19</v>
      </c>
      <c r="C159">
        <v>7075.78</v>
      </c>
      <c r="D159" s="9" t="s">
        <v>8</v>
      </c>
      <c r="F159" s="9" t="s">
        <v>17</v>
      </c>
      <c r="G159" s="9" t="s">
        <v>180</v>
      </c>
    </row>
    <row r="160" spans="1:7" x14ac:dyDescent="0.25">
      <c r="A160" s="1">
        <v>45950</v>
      </c>
      <c r="B160" s="9" t="s">
        <v>19</v>
      </c>
      <c r="C160">
        <v>4277.01</v>
      </c>
      <c r="D160" s="9" t="s">
        <v>8</v>
      </c>
      <c r="F160" s="9" t="s">
        <v>17</v>
      </c>
      <c r="G160" s="9" t="s">
        <v>181</v>
      </c>
    </row>
    <row r="161" spans="1:7" x14ac:dyDescent="0.25">
      <c r="A161" s="1">
        <v>45950</v>
      </c>
      <c r="B161" s="9" t="s">
        <v>14</v>
      </c>
      <c r="C161">
        <v>-70.83</v>
      </c>
      <c r="D161" s="9" t="s">
        <v>12</v>
      </c>
      <c r="F161" s="9" t="s">
        <v>9</v>
      </c>
      <c r="G161" s="9" t="s">
        <v>182</v>
      </c>
    </row>
    <row r="162" spans="1:7" x14ac:dyDescent="0.25">
      <c r="A162" s="1">
        <v>45952</v>
      </c>
      <c r="B162" s="9" t="s">
        <v>41</v>
      </c>
      <c r="C162">
        <v>-55.25</v>
      </c>
      <c r="D162" s="9" t="s">
        <v>8</v>
      </c>
      <c r="F162" s="9" t="s">
        <v>9</v>
      </c>
      <c r="G162" s="9" t="s">
        <v>183</v>
      </c>
    </row>
    <row r="163" spans="1:7" x14ac:dyDescent="0.25">
      <c r="A163" s="1">
        <v>45954</v>
      </c>
      <c r="B163" s="9" t="s">
        <v>21</v>
      </c>
      <c r="C163">
        <v>-2759.93</v>
      </c>
      <c r="D163" s="9" t="s">
        <v>8</v>
      </c>
      <c r="F163" s="9" t="s">
        <v>9</v>
      </c>
      <c r="G163" s="9" t="s">
        <v>184</v>
      </c>
    </row>
    <row r="164" spans="1:7" x14ac:dyDescent="0.25">
      <c r="A164" s="1">
        <v>45957</v>
      </c>
      <c r="B164" s="9" t="s">
        <v>21</v>
      </c>
      <c r="C164">
        <v>-3220.48</v>
      </c>
      <c r="D164" s="9" t="s">
        <v>8</v>
      </c>
      <c r="F164" s="9" t="s">
        <v>9</v>
      </c>
      <c r="G164" s="9" t="s">
        <v>185</v>
      </c>
    </row>
    <row r="165" spans="1:7" x14ac:dyDescent="0.25">
      <c r="A165" s="1">
        <v>45959</v>
      </c>
      <c r="B165" s="9" t="s">
        <v>19</v>
      </c>
      <c r="C165">
        <v>7331.28</v>
      </c>
      <c r="D165" s="9" t="s">
        <v>8</v>
      </c>
      <c r="F165" s="9" t="s">
        <v>17</v>
      </c>
      <c r="G165" s="9" t="s">
        <v>186</v>
      </c>
    </row>
    <row r="166" spans="1:7" x14ac:dyDescent="0.25">
      <c r="A166" s="1">
        <v>45961</v>
      </c>
      <c r="B166" s="9" t="s">
        <v>19</v>
      </c>
      <c r="C166">
        <v>4912.97</v>
      </c>
      <c r="D166" s="9" t="s">
        <v>8</v>
      </c>
      <c r="F166" s="9" t="s">
        <v>17</v>
      </c>
      <c r="G166" s="9" t="s">
        <v>187</v>
      </c>
    </row>
    <row r="167" spans="1:7" x14ac:dyDescent="0.25">
      <c r="A167" s="1">
        <v>45961</v>
      </c>
      <c r="B167" s="9" t="s">
        <v>19</v>
      </c>
      <c r="C167">
        <v>7406.24</v>
      </c>
      <c r="D167" s="9" t="s">
        <v>8</v>
      </c>
      <c r="F167" s="9" t="s">
        <v>17</v>
      </c>
      <c r="G167" s="9" t="s">
        <v>188</v>
      </c>
    </row>
    <row r="168" spans="1:7" x14ac:dyDescent="0.25">
      <c r="A168" s="1">
        <v>45788</v>
      </c>
      <c r="B168" s="9" t="s">
        <v>47</v>
      </c>
      <c r="C168">
        <v>-176.7</v>
      </c>
      <c r="D168" s="9" t="s">
        <v>8</v>
      </c>
      <c r="F168" s="9" t="s">
        <v>9</v>
      </c>
      <c r="G168" s="9" t="s">
        <v>189</v>
      </c>
    </row>
    <row r="169" spans="1:7" x14ac:dyDescent="0.25">
      <c r="A169" s="1">
        <v>45849</v>
      </c>
      <c r="B169" s="9" t="s">
        <v>19</v>
      </c>
      <c r="C169">
        <v>4250.3599999999997</v>
      </c>
      <c r="D169" s="9" t="s">
        <v>8</v>
      </c>
      <c r="F169" s="9" t="s">
        <v>17</v>
      </c>
      <c r="G169" s="9" t="s">
        <v>190</v>
      </c>
    </row>
    <row r="170" spans="1:7" x14ac:dyDescent="0.25">
      <c r="A170" s="1">
        <v>45974</v>
      </c>
      <c r="B170" s="9" t="s">
        <v>7</v>
      </c>
      <c r="C170">
        <v>-2000.52</v>
      </c>
      <c r="D170" s="9" t="s">
        <v>8</v>
      </c>
      <c r="F170" s="9" t="s">
        <v>9</v>
      </c>
      <c r="G170" s="9" t="s">
        <v>191</v>
      </c>
    </row>
    <row r="171" spans="1:7" x14ac:dyDescent="0.25">
      <c r="A171" s="1">
        <v>45974</v>
      </c>
      <c r="B171" s="9" t="s">
        <v>28</v>
      </c>
      <c r="C171">
        <v>-36.950000000000003</v>
      </c>
      <c r="D171" s="9" t="s">
        <v>8</v>
      </c>
      <c r="F171" s="9" t="s">
        <v>9</v>
      </c>
      <c r="G171" s="9" t="s">
        <v>192</v>
      </c>
    </row>
    <row r="172" spans="1:7" x14ac:dyDescent="0.25">
      <c r="A172" s="1">
        <v>45976</v>
      </c>
      <c r="B172" s="9" t="s">
        <v>21</v>
      </c>
      <c r="C172">
        <v>-3536.89</v>
      </c>
      <c r="D172" s="9" t="s">
        <v>8</v>
      </c>
      <c r="F172" s="9" t="s">
        <v>9</v>
      </c>
      <c r="G172" s="9" t="s">
        <v>193</v>
      </c>
    </row>
    <row r="173" spans="1:7" x14ac:dyDescent="0.25">
      <c r="A173" s="1">
        <v>45977</v>
      </c>
      <c r="B173" s="9" t="s">
        <v>47</v>
      </c>
      <c r="C173">
        <v>-97.48</v>
      </c>
      <c r="D173" s="9" t="s">
        <v>8</v>
      </c>
      <c r="F173" s="9" t="s">
        <v>9</v>
      </c>
      <c r="G173" s="9" t="s">
        <v>194</v>
      </c>
    </row>
    <row r="174" spans="1:7" x14ac:dyDescent="0.25">
      <c r="A174" s="1">
        <v>45979</v>
      </c>
      <c r="B174" s="9" t="s">
        <v>19</v>
      </c>
      <c r="C174">
        <v>6552.23</v>
      </c>
      <c r="D174" s="9" t="s">
        <v>8</v>
      </c>
      <c r="F174" s="9" t="s">
        <v>17</v>
      </c>
      <c r="G174" s="9" t="s">
        <v>195</v>
      </c>
    </row>
    <row r="175" spans="1:7" x14ac:dyDescent="0.25">
      <c r="A175" s="1">
        <v>45980</v>
      </c>
      <c r="B175" s="9" t="s">
        <v>19</v>
      </c>
      <c r="C175">
        <v>3283.12</v>
      </c>
      <c r="D175" s="9" t="s">
        <v>8</v>
      </c>
      <c r="F175" s="9" t="s">
        <v>17</v>
      </c>
      <c r="G175" s="9" t="s">
        <v>196</v>
      </c>
    </row>
    <row r="176" spans="1:7" x14ac:dyDescent="0.25">
      <c r="A176" s="1">
        <v>45982</v>
      </c>
      <c r="B176" s="9" t="s">
        <v>16</v>
      </c>
      <c r="C176">
        <v>2907.92</v>
      </c>
      <c r="D176" s="9" t="s">
        <v>8</v>
      </c>
      <c r="F176" s="9" t="s">
        <v>17</v>
      </c>
      <c r="G176" s="9" t="s">
        <v>197</v>
      </c>
    </row>
    <row r="177" spans="1:7" x14ac:dyDescent="0.25">
      <c r="A177" s="1">
        <v>45982</v>
      </c>
      <c r="B177" s="9" t="s">
        <v>19</v>
      </c>
      <c r="C177">
        <v>5329.79</v>
      </c>
      <c r="D177" s="9" t="s">
        <v>8</v>
      </c>
      <c r="F177" s="9" t="s">
        <v>17</v>
      </c>
      <c r="G177" s="9" t="s">
        <v>198</v>
      </c>
    </row>
    <row r="178" spans="1:7" x14ac:dyDescent="0.25">
      <c r="A178" s="1">
        <v>45983</v>
      </c>
      <c r="B178" s="9" t="s">
        <v>19</v>
      </c>
      <c r="C178">
        <v>3018.1</v>
      </c>
      <c r="D178" s="9" t="s">
        <v>8</v>
      </c>
      <c r="F178" s="9" t="s">
        <v>17</v>
      </c>
      <c r="G178" s="9" t="s">
        <v>199</v>
      </c>
    </row>
    <row r="179" spans="1:7" x14ac:dyDescent="0.25">
      <c r="A179" s="1">
        <v>45983</v>
      </c>
      <c r="B179" s="9" t="s">
        <v>16</v>
      </c>
      <c r="C179">
        <v>1649.42</v>
      </c>
      <c r="D179" s="9" t="s">
        <v>8</v>
      </c>
      <c r="F179" s="9" t="s">
        <v>17</v>
      </c>
      <c r="G179" s="9" t="s">
        <v>200</v>
      </c>
    </row>
    <row r="180" spans="1:7" x14ac:dyDescent="0.25">
      <c r="A180" s="1">
        <v>45983</v>
      </c>
      <c r="B180" s="9" t="s">
        <v>47</v>
      </c>
      <c r="C180">
        <v>-138.09</v>
      </c>
      <c r="D180" s="9" t="s">
        <v>8</v>
      </c>
      <c r="F180" s="9" t="s">
        <v>9</v>
      </c>
      <c r="G180" s="9" t="s">
        <v>201</v>
      </c>
    </row>
    <row r="181" spans="1:7" x14ac:dyDescent="0.25">
      <c r="A181" s="1">
        <v>45984</v>
      </c>
      <c r="B181" s="9" t="s">
        <v>47</v>
      </c>
      <c r="C181">
        <v>-85.99</v>
      </c>
      <c r="D181" s="9" t="s">
        <v>8</v>
      </c>
      <c r="F181" s="9" t="s">
        <v>9</v>
      </c>
      <c r="G181" s="9" t="s">
        <v>202</v>
      </c>
    </row>
    <row r="182" spans="1:7" x14ac:dyDescent="0.25">
      <c r="A182" s="1">
        <v>45988</v>
      </c>
      <c r="B182" s="9" t="s">
        <v>21</v>
      </c>
      <c r="C182">
        <v>-2676.8</v>
      </c>
      <c r="D182" s="9" t="s">
        <v>8</v>
      </c>
      <c r="F182" s="9" t="s">
        <v>9</v>
      </c>
      <c r="G182" s="9" t="s">
        <v>203</v>
      </c>
    </row>
    <row r="183" spans="1:7" x14ac:dyDescent="0.25">
      <c r="A183" s="1">
        <v>45990</v>
      </c>
      <c r="B183" s="9" t="s">
        <v>21</v>
      </c>
      <c r="C183">
        <v>-3222.68</v>
      </c>
      <c r="D183" s="9" t="s">
        <v>8</v>
      </c>
      <c r="F183" s="9" t="s">
        <v>9</v>
      </c>
      <c r="G183" s="9" t="s">
        <v>204</v>
      </c>
    </row>
    <row r="184" spans="1:7" x14ac:dyDescent="0.25">
      <c r="A184" s="1">
        <v>45990</v>
      </c>
      <c r="B184" s="9" t="s">
        <v>19</v>
      </c>
      <c r="C184">
        <v>7271.04</v>
      </c>
      <c r="D184" s="9" t="s">
        <v>8</v>
      </c>
      <c r="F184" s="9" t="s">
        <v>17</v>
      </c>
      <c r="G184" s="9" t="s">
        <v>205</v>
      </c>
    </row>
    <row r="185" spans="1:7" x14ac:dyDescent="0.25">
      <c r="A185" s="1">
        <v>45669</v>
      </c>
      <c r="B185" s="9" t="s">
        <v>7</v>
      </c>
      <c r="C185">
        <v>-2003.18</v>
      </c>
      <c r="D185" s="9" t="s">
        <v>8</v>
      </c>
      <c r="F185" s="9" t="s">
        <v>9</v>
      </c>
      <c r="G185" s="9" t="s">
        <v>206</v>
      </c>
    </row>
    <row r="186" spans="1:7" x14ac:dyDescent="0.25">
      <c r="A186" s="1">
        <v>45759</v>
      </c>
      <c r="B186" s="9" t="s">
        <v>19</v>
      </c>
      <c r="C186">
        <v>5965.21</v>
      </c>
      <c r="D186" s="9" t="s">
        <v>8</v>
      </c>
      <c r="F186" s="9" t="s">
        <v>17</v>
      </c>
      <c r="G186" s="9" t="s">
        <v>207</v>
      </c>
    </row>
    <row r="187" spans="1:7" x14ac:dyDescent="0.25">
      <c r="A187" s="1">
        <v>45881</v>
      </c>
      <c r="B187" s="9" t="s">
        <v>16</v>
      </c>
      <c r="C187">
        <v>2132.1999999999998</v>
      </c>
      <c r="D187" s="9" t="s">
        <v>8</v>
      </c>
      <c r="F187" s="9" t="s">
        <v>17</v>
      </c>
      <c r="G187" s="9" t="s">
        <v>208</v>
      </c>
    </row>
    <row r="188" spans="1:7" x14ac:dyDescent="0.25">
      <c r="A188" s="1">
        <v>45881</v>
      </c>
      <c r="B188" s="9" t="s">
        <v>34</v>
      </c>
      <c r="C188">
        <v>-941.87</v>
      </c>
      <c r="D188" s="9" t="s">
        <v>8</v>
      </c>
      <c r="F188" s="9" t="s">
        <v>9</v>
      </c>
      <c r="G188" s="9" t="s">
        <v>209</v>
      </c>
    </row>
    <row r="189" spans="1:7" x14ac:dyDescent="0.25">
      <c r="A189" s="1">
        <v>46006</v>
      </c>
      <c r="B189" s="9" t="s">
        <v>41</v>
      </c>
      <c r="C189">
        <v>-39.25</v>
      </c>
      <c r="D189" s="9" t="s">
        <v>8</v>
      </c>
      <c r="F189" s="9" t="s">
        <v>9</v>
      </c>
      <c r="G189" s="9" t="s">
        <v>210</v>
      </c>
    </row>
    <row r="190" spans="1:7" x14ac:dyDescent="0.25">
      <c r="A190" s="1">
        <v>46006</v>
      </c>
      <c r="B190" s="9" t="s">
        <v>28</v>
      </c>
      <c r="C190">
        <v>-36.450000000000003</v>
      </c>
      <c r="D190" s="9" t="s">
        <v>8</v>
      </c>
      <c r="F190" s="9" t="s">
        <v>9</v>
      </c>
      <c r="G190" s="9" t="s">
        <v>211</v>
      </c>
    </row>
    <row r="191" spans="1:7" x14ac:dyDescent="0.25">
      <c r="A191" s="1">
        <v>46006</v>
      </c>
      <c r="B191" s="9" t="s">
        <v>34</v>
      </c>
      <c r="C191">
        <v>-1126.3900000000001</v>
      </c>
      <c r="D191" s="9" t="s">
        <v>8</v>
      </c>
      <c r="F191" s="9" t="s">
        <v>9</v>
      </c>
      <c r="G191" s="9" t="s">
        <v>212</v>
      </c>
    </row>
    <row r="192" spans="1:7" x14ac:dyDescent="0.25">
      <c r="A192" s="1">
        <v>46007</v>
      </c>
      <c r="B192" s="9" t="s">
        <v>41</v>
      </c>
      <c r="C192">
        <v>-63.59</v>
      </c>
      <c r="D192" s="9" t="s">
        <v>8</v>
      </c>
      <c r="F192" s="9" t="s">
        <v>9</v>
      </c>
      <c r="G192" s="9" t="s">
        <v>213</v>
      </c>
    </row>
    <row r="193" spans="1:7" x14ac:dyDescent="0.25">
      <c r="A193" s="1">
        <v>46008</v>
      </c>
      <c r="B193" s="9" t="s">
        <v>70</v>
      </c>
      <c r="C193">
        <v>29.83</v>
      </c>
      <c r="D193" s="9" t="s">
        <v>8</v>
      </c>
      <c r="F193" s="9" t="s">
        <v>17</v>
      </c>
      <c r="G193" s="9" t="s">
        <v>214</v>
      </c>
    </row>
    <row r="194" spans="1:7" x14ac:dyDescent="0.25">
      <c r="A194" s="1">
        <v>46009</v>
      </c>
      <c r="B194" s="9" t="s">
        <v>19</v>
      </c>
      <c r="C194">
        <v>5194.08</v>
      </c>
      <c r="D194" s="9" t="s">
        <v>8</v>
      </c>
      <c r="F194" s="9" t="s">
        <v>17</v>
      </c>
      <c r="G194" s="9" t="s">
        <v>215</v>
      </c>
    </row>
    <row r="195" spans="1:7" x14ac:dyDescent="0.25">
      <c r="A195" s="1">
        <v>46017</v>
      </c>
      <c r="B195" s="9" t="s">
        <v>19</v>
      </c>
      <c r="C195">
        <v>4448.47</v>
      </c>
      <c r="D195" s="9" t="s">
        <v>8</v>
      </c>
      <c r="F195" s="9" t="s">
        <v>17</v>
      </c>
      <c r="G195" s="9" t="s">
        <v>216</v>
      </c>
    </row>
    <row r="196" spans="1:7" x14ac:dyDescent="0.25">
      <c r="A196" s="1">
        <v>46018</v>
      </c>
      <c r="B196" s="9" t="s">
        <v>47</v>
      </c>
      <c r="C196">
        <v>-93.92</v>
      </c>
      <c r="D196" s="9" t="s">
        <v>8</v>
      </c>
      <c r="F196" s="9" t="s">
        <v>9</v>
      </c>
      <c r="G196" s="9" t="s">
        <v>217</v>
      </c>
    </row>
    <row r="197" spans="1:7" x14ac:dyDescent="0.25">
      <c r="A197" s="1">
        <v>46019</v>
      </c>
      <c r="B197" s="9" t="s">
        <v>21</v>
      </c>
      <c r="C197">
        <v>-3007.34</v>
      </c>
      <c r="D197" s="9" t="s">
        <v>8</v>
      </c>
      <c r="F197" s="9" t="s">
        <v>9</v>
      </c>
      <c r="G197" s="9" t="s">
        <v>218</v>
      </c>
    </row>
    <row r="198" spans="1:7" x14ac:dyDescent="0.25">
      <c r="A198" s="1">
        <v>46020</v>
      </c>
      <c r="B198" s="9" t="s">
        <v>70</v>
      </c>
      <c r="C198">
        <v>28.8</v>
      </c>
      <c r="D198" s="9" t="s">
        <v>8</v>
      </c>
      <c r="F198" s="9" t="s">
        <v>17</v>
      </c>
      <c r="G198" s="9" t="s">
        <v>219</v>
      </c>
    </row>
    <row r="199" spans="1:7" x14ac:dyDescent="0.25">
      <c r="A199" s="1">
        <v>46020</v>
      </c>
      <c r="B199" s="9" t="s">
        <v>16</v>
      </c>
      <c r="C199">
        <v>3875.32</v>
      </c>
      <c r="D199" s="9" t="s">
        <v>8</v>
      </c>
      <c r="F199" s="9" t="s">
        <v>17</v>
      </c>
      <c r="G199" s="9" t="s">
        <v>220</v>
      </c>
    </row>
    <row r="200" spans="1:7" x14ac:dyDescent="0.25">
      <c r="A200" s="1">
        <v>46020</v>
      </c>
      <c r="B200" s="9" t="s">
        <v>14</v>
      </c>
      <c r="C200">
        <v>-53.41</v>
      </c>
      <c r="D200" s="9" t="s">
        <v>12</v>
      </c>
      <c r="F200" s="9" t="s">
        <v>9</v>
      </c>
      <c r="G200" s="9" t="s">
        <v>221</v>
      </c>
    </row>
    <row r="201" spans="1:7" x14ac:dyDescent="0.25">
      <c r="A201" s="1">
        <v>46021</v>
      </c>
      <c r="B201" s="9" t="s">
        <v>16</v>
      </c>
      <c r="C201">
        <v>5696.18</v>
      </c>
      <c r="D201" s="9" t="s">
        <v>8</v>
      </c>
      <c r="F201" s="9" t="s">
        <v>17</v>
      </c>
      <c r="G201" s="9" t="s">
        <v>222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629E2-FD08-4642-BB83-F614BCFF9C02}">
  <sheetPr codeName="Sheet2"/>
  <dimension ref="A1:J201"/>
  <sheetViews>
    <sheetView showGridLines="0" topLeftCell="H1" workbookViewId="0">
      <selection activeCell="N1" sqref="N1"/>
    </sheetView>
  </sheetViews>
  <sheetFormatPr defaultRowHeight="15" x14ac:dyDescent="0.25"/>
  <cols>
    <col min="2" max="2" width="13.7109375" customWidth="1"/>
    <col min="3" max="3" width="10.140625" customWidth="1"/>
    <col min="4" max="4" width="10.42578125" customWidth="1"/>
    <col min="5" max="5" width="11.28515625" customWidth="1"/>
    <col min="7" max="7" width="12.5703125" customWidth="1"/>
    <col min="8" max="8" width="14.42578125" style="3" bestFit="1" customWidth="1"/>
    <col min="10" max="10" width="19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223</v>
      </c>
      <c r="I1" t="s">
        <v>224</v>
      </c>
      <c r="J1" t="s">
        <v>225</v>
      </c>
    </row>
    <row r="2" spans="1:10" x14ac:dyDescent="0.25">
      <c r="A2" s="18">
        <v>45658</v>
      </c>
      <c r="B2" s="13" t="s">
        <v>7</v>
      </c>
      <c r="C2" s="11">
        <v>-2008.17</v>
      </c>
      <c r="D2" s="13" t="s">
        <v>8</v>
      </c>
      <c r="E2" s="11" t="s">
        <v>226</v>
      </c>
      <c r="F2" s="13" t="s">
        <v>9</v>
      </c>
      <c r="G2" s="14" t="s">
        <v>10</v>
      </c>
      <c r="H2" s="3">
        <f t="shared" ref="H2" si="0">DATE(YEAR(A2),MONTH(A2),1)</f>
        <v>45658</v>
      </c>
      <c r="I2" t="str">
        <f t="shared" ref="I2" si="1">IF(C2&lt;0,"Expense","Income")</f>
        <v>Expense</v>
      </c>
      <c r="J2" t="str">
        <f t="shared" ref="J2" si="2">UPPER(TRIM(B2))</f>
        <v>RENT</v>
      </c>
    </row>
    <row r="3" spans="1:10" x14ac:dyDescent="0.25">
      <c r="A3" s="15">
        <v>45717</v>
      </c>
      <c r="B3" s="16" t="s">
        <v>11</v>
      </c>
      <c r="C3" s="12">
        <v>-157.15</v>
      </c>
      <c r="D3" s="16" t="s">
        <v>12</v>
      </c>
      <c r="E3" s="12" t="s">
        <v>227</v>
      </c>
      <c r="F3" s="16" t="s">
        <v>9</v>
      </c>
      <c r="G3" s="17" t="s">
        <v>13</v>
      </c>
      <c r="H3" s="3">
        <f t="shared" ref="H3:H66" si="3">DATE(YEAR(A3),MONTH(A3),1)</f>
        <v>45717</v>
      </c>
      <c r="I3" t="str">
        <f t="shared" ref="I3:I66" si="4">IF(C3&lt;0,"Expense","Income")</f>
        <v>Expense</v>
      </c>
      <c r="J3" t="str">
        <f t="shared" ref="J3:J66" si="5">UPPER(TRIM(B3))</f>
        <v>OFFICE DEPOT</v>
      </c>
    </row>
    <row r="4" spans="1:10" x14ac:dyDescent="0.25">
      <c r="A4" s="18">
        <v>45748</v>
      </c>
      <c r="B4" s="13" t="s">
        <v>14</v>
      </c>
      <c r="C4" s="11">
        <v>-87.86</v>
      </c>
      <c r="D4" s="13" t="s">
        <v>12</v>
      </c>
      <c r="E4" s="11" t="s">
        <v>228</v>
      </c>
      <c r="F4" s="13" t="s">
        <v>9</v>
      </c>
      <c r="G4" s="14" t="s">
        <v>15</v>
      </c>
      <c r="H4" s="3">
        <f t="shared" si="3"/>
        <v>45748</v>
      </c>
      <c r="I4" t="str">
        <f t="shared" si="4"/>
        <v>Expense</v>
      </c>
      <c r="J4" t="str">
        <f t="shared" si="5"/>
        <v>UBER</v>
      </c>
    </row>
    <row r="5" spans="1:10" x14ac:dyDescent="0.25">
      <c r="A5" s="15">
        <v>45809</v>
      </c>
      <c r="B5" s="16" t="s">
        <v>16</v>
      </c>
      <c r="C5" s="12">
        <v>4900.1400000000003</v>
      </c>
      <c r="D5" s="16" t="s">
        <v>8</v>
      </c>
      <c r="E5" s="12" t="s">
        <v>229</v>
      </c>
      <c r="F5" s="16" t="s">
        <v>17</v>
      </c>
      <c r="G5" s="17" t="s">
        <v>18</v>
      </c>
      <c r="H5" s="3">
        <f t="shared" si="3"/>
        <v>45809</v>
      </c>
      <c r="I5" t="str">
        <f t="shared" si="4"/>
        <v>Income</v>
      </c>
      <c r="J5" t="str">
        <f t="shared" si="5"/>
        <v>CLIENT PAYMENT</v>
      </c>
    </row>
    <row r="6" spans="1:10" x14ac:dyDescent="0.25">
      <c r="A6" s="18">
        <v>45839</v>
      </c>
      <c r="B6" s="13" t="s">
        <v>19</v>
      </c>
      <c r="C6" s="11">
        <v>5881.31</v>
      </c>
      <c r="D6" s="13" t="s">
        <v>8</v>
      </c>
      <c r="E6" s="11" t="s">
        <v>229</v>
      </c>
      <c r="F6" s="13" t="s">
        <v>17</v>
      </c>
      <c r="G6" s="14" t="s">
        <v>20</v>
      </c>
      <c r="H6" s="3">
        <f t="shared" si="3"/>
        <v>45839</v>
      </c>
      <c r="I6" t="str">
        <f t="shared" si="4"/>
        <v>Income</v>
      </c>
      <c r="J6" t="str">
        <f t="shared" si="5"/>
        <v>STRIPE PAYOUT</v>
      </c>
    </row>
    <row r="7" spans="1:10" x14ac:dyDescent="0.25">
      <c r="A7" s="15">
        <v>45870</v>
      </c>
      <c r="B7" s="16" t="s">
        <v>21</v>
      </c>
      <c r="C7" s="12">
        <v>-3158.45</v>
      </c>
      <c r="D7" s="16" t="s">
        <v>8</v>
      </c>
      <c r="E7" s="12" t="s">
        <v>230</v>
      </c>
      <c r="F7" s="16" t="s">
        <v>9</v>
      </c>
      <c r="G7" s="17" t="s">
        <v>22</v>
      </c>
      <c r="H7" s="3">
        <f t="shared" si="3"/>
        <v>45870</v>
      </c>
      <c r="I7" t="str">
        <f t="shared" si="4"/>
        <v>Expense</v>
      </c>
      <c r="J7" t="str">
        <f t="shared" si="5"/>
        <v>PAYROLL</v>
      </c>
    </row>
    <row r="8" spans="1:10" x14ac:dyDescent="0.25">
      <c r="A8" s="18">
        <v>45870</v>
      </c>
      <c r="B8" s="13" t="s">
        <v>19</v>
      </c>
      <c r="C8" s="11">
        <v>4680.53</v>
      </c>
      <c r="D8" s="13" t="s">
        <v>8</v>
      </c>
      <c r="E8" s="11" t="s">
        <v>229</v>
      </c>
      <c r="F8" s="13" t="s">
        <v>17</v>
      </c>
      <c r="G8" s="14" t="s">
        <v>23</v>
      </c>
      <c r="H8" s="3">
        <f t="shared" si="3"/>
        <v>45870</v>
      </c>
      <c r="I8" t="str">
        <f t="shared" si="4"/>
        <v>Income</v>
      </c>
      <c r="J8" t="str">
        <f t="shared" si="5"/>
        <v>STRIPE PAYOUT</v>
      </c>
    </row>
    <row r="9" spans="1:10" x14ac:dyDescent="0.25">
      <c r="A9" s="15">
        <v>45901</v>
      </c>
      <c r="B9" s="16" t="s">
        <v>14</v>
      </c>
      <c r="C9" s="12">
        <v>-83.03</v>
      </c>
      <c r="D9" s="16" t="s">
        <v>12</v>
      </c>
      <c r="E9" s="12" t="s">
        <v>228</v>
      </c>
      <c r="F9" s="16" t="s">
        <v>9</v>
      </c>
      <c r="G9" s="17" t="s">
        <v>24</v>
      </c>
      <c r="H9" s="3">
        <f t="shared" si="3"/>
        <v>45901</v>
      </c>
      <c r="I9" t="str">
        <f t="shared" si="4"/>
        <v>Expense</v>
      </c>
      <c r="J9" t="str">
        <f t="shared" si="5"/>
        <v>UBER</v>
      </c>
    </row>
    <row r="10" spans="1:10" x14ac:dyDescent="0.25">
      <c r="A10" s="18">
        <v>45992</v>
      </c>
      <c r="B10" s="13" t="s">
        <v>21</v>
      </c>
      <c r="C10" s="11">
        <v>-2844.01</v>
      </c>
      <c r="D10" s="13" t="s">
        <v>8</v>
      </c>
      <c r="E10" s="11" t="s">
        <v>230</v>
      </c>
      <c r="F10" s="13" t="s">
        <v>9</v>
      </c>
      <c r="G10" s="14" t="s">
        <v>25</v>
      </c>
      <c r="H10" s="3">
        <f t="shared" si="3"/>
        <v>45992</v>
      </c>
      <c r="I10" t="str">
        <f t="shared" si="4"/>
        <v>Expense</v>
      </c>
      <c r="J10" t="str">
        <f t="shared" si="5"/>
        <v>PAYROLL</v>
      </c>
    </row>
    <row r="11" spans="1:10" x14ac:dyDescent="0.25">
      <c r="A11" s="15">
        <v>45671</v>
      </c>
      <c r="B11" s="16" t="s">
        <v>19</v>
      </c>
      <c r="C11" s="12">
        <v>1981.16</v>
      </c>
      <c r="D11" s="16" t="s">
        <v>8</v>
      </c>
      <c r="E11" s="12" t="s">
        <v>229</v>
      </c>
      <c r="F11" s="16" t="s">
        <v>17</v>
      </c>
      <c r="G11" s="17" t="s">
        <v>26</v>
      </c>
      <c r="H11" s="3">
        <f t="shared" si="3"/>
        <v>45658</v>
      </c>
      <c r="I11" t="str">
        <f t="shared" si="4"/>
        <v>Income</v>
      </c>
      <c r="J11" t="str">
        <f t="shared" si="5"/>
        <v>STRIPE PAYOUT</v>
      </c>
    </row>
    <row r="12" spans="1:10" x14ac:dyDescent="0.25">
      <c r="A12" s="18">
        <v>45671</v>
      </c>
      <c r="B12" s="13" t="s">
        <v>16</v>
      </c>
      <c r="C12" s="11">
        <v>2368.34</v>
      </c>
      <c r="D12" s="13" t="s">
        <v>8</v>
      </c>
      <c r="E12" s="11" t="s">
        <v>229</v>
      </c>
      <c r="F12" s="13" t="s">
        <v>17</v>
      </c>
      <c r="G12" s="14" t="s">
        <v>27</v>
      </c>
      <c r="H12" s="3">
        <f t="shared" si="3"/>
        <v>45658</v>
      </c>
      <c r="I12" t="str">
        <f t="shared" si="4"/>
        <v>Income</v>
      </c>
      <c r="J12" t="str">
        <f t="shared" si="5"/>
        <v>CLIENT PAYMENT</v>
      </c>
    </row>
    <row r="13" spans="1:10" x14ac:dyDescent="0.25">
      <c r="A13" s="15">
        <v>45675</v>
      </c>
      <c r="B13" s="16" t="s">
        <v>28</v>
      </c>
      <c r="C13" s="12">
        <v>-40.880000000000003</v>
      </c>
      <c r="D13" s="16" t="s">
        <v>8</v>
      </c>
      <c r="E13" s="12" t="s">
        <v>231</v>
      </c>
      <c r="F13" s="16" t="s">
        <v>9</v>
      </c>
      <c r="G13" s="17" t="s">
        <v>29</v>
      </c>
      <c r="H13" s="3">
        <f t="shared" si="3"/>
        <v>45658</v>
      </c>
      <c r="I13" t="str">
        <f t="shared" si="4"/>
        <v>Expense</v>
      </c>
      <c r="J13" t="str">
        <f t="shared" si="5"/>
        <v>BANK FEE</v>
      </c>
    </row>
    <row r="14" spans="1:10" x14ac:dyDescent="0.25">
      <c r="A14" s="18">
        <v>45676</v>
      </c>
      <c r="B14" s="13" t="s">
        <v>14</v>
      </c>
      <c r="C14" s="11">
        <v>-80.19</v>
      </c>
      <c r="D14" s="13" t="s">
        <v>12</v>
      </c>
      <c r="E14" s="11" t="s">
        <v>228</v>
      </c>
      <c r="F14" s="13" t="s">
        <v>9</v>
      </c>
      <c r="G14" s="14" t="s">
        <v>30</v>
      </c>
      <c r="H14" s="3">
        <f t="shared" si="3"/>
        <v>45658</v>
      </c>
      <c r="I14" t="str">
        <f t="shared" si="4"/>
        <v>Expense</v>
      </c>
      <c r="J14" t="str">
        <f t="shared" si="5"/>
        <v>UBER</v>
      </c>
    </row>
    <row r="15" spans="1:10" x14ac:dyDescent="0.25">
      <c r="A15" s="15">
        <v>45681</v>
      </c>
      <c r="B15" s="16" t="s">
        <v>19</v>
      </c>
      <c r="C15" s="12">
        <v>3504.45</v>
      </c>
      <c r="D15" s="16" t="s">
        <v>8</v>
      </c>
      <c r="E15" s="12" t="s">
        <v>229</v>
      </c>
      <c r="F15" s="16" t="s">
        <v>17</v>
      </c>
      <c r="G15" s="17" t="s">
        <v>31</v>
      </c>
      <c r="H15" s="3">
        <f t="shared" si="3"/>
        <v>45658</v>
      </c>
      <c r="I15" t="str">
        <f t="shared" si="4"/>
        <v>Income</v>
      </c>
      <c r="J15" t="str">
        <f t="shared" si="5"/>
        <v>STRIPE PAYOUT</v>
      </c>
    </row>
    <row r="16" spans="1:10" x14ac:dyDescent="0.25">
      <c r="A16" s="18">
        <v>45681</v>
      </c>
      <c r="B16" s="13" t="s">
        <v>19</v>
      </c>
      <c r="C16" s="11">
        <v>6885.42</v>
      </c>
      <c r="D16" s="13" t="s">
        <v>8</v>
      </c>
      <c r="E16" s="11" t="s">
        <v>229</v>
      </c>
      <c r="F16" s="13" t="s">
        <v>17</v>
      </c>
      <c r="G16" s="14" t="s">
        <v>32</v>
      </c>
      <c r="H16" s="3">
        <f t="shared" si="3"/>
        <v>45658</v>
      </c>
      <c r="I16" t="str">
        <f t="shared" si="4"/>
        <v>Income</v>
      </c>
      <c r="J16" t="str">
        <f t="shared" si="5"/>
        <v>STRIPE PAYOUT</v>
      </c>
    </row>
    <row r="17" spans="1:10" x14ac:dyDescent="0.25">
      <c r="A17" s="15">
        <v>45683</v>
      </c>
      <c r="B17" s="16" t="s">
        <v>16</v>
      </c>
      <c r="C17" s="12">
        <v>5807.29</v>
      </c>
      <c r="D17" s="16" t="s">
        <v>8</v>
      </c>
      <c r="E17" s="12" t="s">
        <v>229</v>
      </c>
      <c r="F17" s="16" t="s">
        <v>17</v>
      </c>
      <c r="G17" s="17" t="s">
        <v>33</v>
      </c>
      <c r="H17" s="3">
        <f t="shared" si="3"/>
        <v>45658</v>
      </c>
      <c r="I17" t="str">
        <f t="shared" si="4"/>
        <v>Income</v>
      </c>
      <c r="J17" t="str">
        <f t="shared" si="5"/>
        <v>CLIENT PAYMENT</v>
      </c>
    </row>
    <row r="18" spans="1:10" x14ac:dyDescent="0.25">
      <c r="A18" s="18">
        <v>45683</v>
      </c>
      <c r="B18" s="13" t="s">
        <v>34</v>
      </c>
      <c r="C18" s="11">
        <v>-1158.72</v>
      </c>
      <c r="D18" s="13" t="s">
        <v>8</v>
      </c>
      <c r="E18" s="11" t="s">
        <v>232</v>
      </c>
      <c r="F18" s="13" t="s">
        <v>9</v>
      </c>
      <c r="G18" s="14" t="s">
        <v>35</v>
      </c>
      <c r="H18" s="3">
        <f t="shared" si="3"/>
        <v>45658</v>
      </c>
      <c r="I18" t="str">
        <f t="shared" si="4"/>
        <v>Expense</v>
      </c>
      <c r="J18" t="str">
        <f t="shared" si="5"/>
        <v>GOOGLE ADS</v>
      </c>
    </row>
    <row r="19" spans="1:10" x14ac:dyDescent="0.25">
      <c r="A19" s="15">
        <v>45749</v>
      </c>
      <c r="B19" s="16" t="s">
        <v>19</v>
      </c>
      <c r="C19" s="12">
        <v>3966.72</v>
      </c>
      <c r="D19" s="16" t="s">
        <v>8</v>
      </c>
      <c r="E19" s="12" t="s">
        <v>229</v>
      </c>
      <c r="F19" s="16" t="s">
        <v>17</v>
      </c>
      <c r="G19" s="17" t="s">
        <v>36</v>
      </c>
      <c r="H19" s="3">
        <f t="shared" si="3"/>
        <v>45748</v>
      </c>
      <c r="I19" t="str">
        <f t="shared" si="4"/>
        <v>Income</v>
      </c>
      <c r="J19" t="str">
        <f t="shared" si="5"/>
        <v>STRIPE PAYOUT</v>
      </c>
    </row>
    <row r="20" spans="1:10" x14ac:dyDescent="0.25">
      <c r="A20" s="18">
        <v>45779</v>
      </c>
      <c r="B20" s="13" t="s">
        <v>34</v>
      </c>
      <c r="C20" s="11">
        <v>-965.7</v>
      </c>
      <c r="D20" s="13" t="s">
        <v>8</v>
      </c>
      <c r="E20" s="11" t="s">
        <v>232</v>
      </c>
      <c r="F20" s="13" t="s">
        <v>9</v>
      </c>
      <c r="G20" s="14" t="s">
        <v>37</v>
      </c>
      <c r="H20" s="3">
        <f t="shared" si="3"/>
        <v>45778</v>
      </c>
      <c r="I20" t="str">
        <f t="shared" si="4"/>
        <v>Expense</v>
      </c>
      <c r="J20" t="str">
        <f t="shared" si="5"/>
        <v>GOOGLE ADS</v>
      </c>
    </row>
    <row r="21" spans="1:10" x14ac:dyDescent="0.25">
      <c r="A21" s="15">
        <v>45810</v>
      </c>
      <c r="B21" s="16" t="s">
        <v>16</v>
      </c>
      <c r="C21" s="12">
        <v>4030.94</v>
      </c>
      <c r="D21" s="16" t="s">
        <v>8</v>
      </c>
      <c r="E21" s="12" t="s">
        <v>229</v>
      </c>
      <c r="F21" s="16" t="s">
        <v>17</v>
      </c>
      <c r="G21" s="17" t="s">
        <v>38</v>
      </c>
      <c r="H21" s="3">
        <f t="shared" si="3"/>
        <v>45809</v>
      </c>
      <c r="I21" t="str">
        <f t="shared" si="4"/>
        <v>Income</v>
      </c>
      <c r="J21" t="str">
        <f t="shared" si="5"/>
        <v>CLIENT PAYMENT</v>
      </c>
    </row>
    <row r="22" spans="1:10" x14ac:dyDescent="0.25">
      <c r="A22" s="18">
        <v>45840</v>
      </c>
      <c r="B22" s="13" t="s">
        <v>19</v>
      </c>
      <c r="C22" s="11">
        <v>5620</v>
      </c>
      <c r="D22" s="13" t="s">
        <v>8</v>
      </c>
      <c r="E22" s="11" t="s">
        <v>229</v>
      </c>
      <c r="F22" s="13" t="s">
        <v>17</v>
      </c>
      <c r="G22" s="14" t="s">
        <v>39</v>
      </c>
      <c r="H22" s="3">
        <f t="shared" si="3"/>
        <v>45839</v>
      </c>
      <c r="I22" t="str">
        <f t="shared" si="4"/>
        <v>Income</v>
      </c>
      <c r="J22" t="str">
        <f t="shared" si="5"/>
        <v>STRIPE PAYOUT</v>
      </c>
    </row>
    <row r="23" spans="1:10" x14ac:dyDescent="0.25">
      <c r="A23" s="15">
        <v>45840</v>
      </c>
      <c r="B23" s="16" t="s">
        <v>14</v>
      </c>
      <c r="C23" s="12">
        <v>-44.53</v>
      </c>
      <c r="D23" s="16" t="s">
        <v>12</v>
      </c>
      <c r="E23" s="12" t="s">
        <v>228</v>
      </c>
      <c r="F23" s="16" t="s">
        <v>9</v>
      </c>
      <c r="G23" s="17" t="s">
        <v>40</v>
      </c>
      <c r="H23" s="3">
        <f t="shared" si="3"/>
        <v>45839</v>
      </c>
      <c r="I23" t="str">
        <f t="shared" si="4"/>
        <v>Expense</v>
      </c>
      <c r="J23" t="str">
        <f t="shared" si="5"/>
        <v>UBER</v>
      </c>
    </row>
    <row r="24" spans="1:10" x14ac:dyDescent="0.25">
      <c r="A24" s="18">
        <v>45871</v>
      </c>
      <c r="B24" s="13" t="s">
        <v>41</v>
      </c>
      <c r="C24" s="11">
        <v>-58.38</v>
      </c>
      <c r="D24" s="13" t="s">
        <v>8</v>
      </c>
      <c r="E24" s="11" t="s">
        <v>233</v>
      </c>
      <c r="F24" s="13" t="s">
        <v>9</v>
      </c>
      <c r="G24" s="14" t="s">
        <v>42</v>
      </c>
      <c r="H24" s="3">
        <f t="shared" si="3"/>
        <v>45870</v>
      </c>
      <c r="I24" t="str">
        <f t="shared" si="4"/>
        <v>Expense</v>
      </c>
      <c r="J24" t="str">
        <f t="shared" si="5"/>
        <v>SLACK SUBSCRIPTION</v>
      </c>
    </row>
    <row r="25" spans="1:10" x14ac:dyDescent="0.25">
      <c r="A25" s="15">
        <v>45871</v>
      </c>
      <c r="B25" s="16" t="s">
        <v>7</v>
      </c>
      <c r="C25" s="12">
        <v>-1906.92</v>
      </c>
      <c r="D25" s="16" t="s">
        <v>8</v>
      </c>
      <c r="E25" s="12" t="s">
        <v>226</v>
      </c>
      <c r="F25" s="16" t="s">
        <v>9</v>
      </c>
      <c r="G25" s="17" t="s">
        <v>43</v>
      </c>
      <c r="H25" s="3">
        <f t="shared" si="3"/>
        <v>45870</v>
      </c>
      <c r="I25" t="str">
        <f t="shared" si="4"/>
        <v>Expense</v>
      </c>
      <c r="J25" t="str">
        <f t="shared" si="5"/>
        <v>RENT</v>
      </c>
    </row>
    <row r="26" spans="1:10" x14ac:dyDescent="0.25">
      <c r="A26" s="18">
        <v>45932</v>
      </c>
      <c r="B26" s="13" t="s">
        <v>21</v>
      </c>
      <c r="C26" s="11">
        <v>-3672.1</v>
      </c>
      <c r="D26" s="13" t="s">
        <v>8</v>
      </c>
      <c r="E26" s="11" t="s">
        <v>230</v>
      </c>
      <c r="F26" s="13" t="s">
        <v>9</v>
      </c>
      <c r="G26" s="14" t="s">
        <v>44</v>
      </c>
      <c r="H26" s="3">
        <f t="shared" si="3"/>
        <v>45931</v>
      </c>
      <c r="I26" t="str">
        <f t="shared" si="4"/>
        <v>Expense</v>
      </c>
      <c r="J26" t="str">
        <f t="shared" si="5"/>
        <v>PAYROLL</v>
      </c>
    </row>
    <row r="27" spans="1:10" x14ac:dyDescent="0.25">
      <c r="A27" s="15">
        <v>45701</v>
      </c>
      <c r="B27" s="16" t="s">
        <v>14</v>
      </c>
      <c r="C27" s="12">
        <v>-74.38</v>
      </c>
      <c r="D27" s="16" t="s">
        <v>12</v>
      </c>
      <c r="E27" s="12" t="s">
        <v>228</v>
      </c>
      <c r="F27" s="16" t="s">
        <v>9</v>
      </c>
      <c r="G27" s="17" t="s">
        <v>45</v>
      </c>
      <c r="H27" s="3">
        <f t="shared" si="3"/>
        <v>45689</v>
      </c>
      <c r="I27" t="str">
        <f t="shared" si="4"/>
        <v>Expense</v>
      </c>
      <c r="J27" t="str">
        <f t="shared" si="5"/>
        <v>UBER</v>
      </c>
    </row>
    <row r="28" spans="1:10" x14ac:dyDescent="0.25">
      <c r="A28" s="18">
        <v>45703</v>
      </c>
      <c r="B28" s="13" t="s">
        <v>19</v>
      </c>
      <c r="C28" s="11">
        <v>3962.9</v>
      </c>
      <c r="D28" s="13" t="s">
        <v>8</v>
      </c>
      <c r="E28" s="11" t="s">
        <v>229</v>
      </c>
      <c r="F28" s="13" t="s">
        <v>17</v>
      </c>
      <c r="G28" s="14" t="s">
        <v>46</v>
      </c>
      <c r="H28" s="3">
        <f t="shared" si="3"/>
        <v>45689</v>
      </c>
      <c r="I28" t="str">
        <f t="shared" si="4"/>
        <v>Income</v>
      </c>
      <c r="J28" t="str">
        <f t="shared" si="5"/>
        <v>STRIPE PAYOUT</v>
      </c>
    </row>
    <row r="29" spans="1:10" x14ac:dyDescent="0.25">
      <c r="A29" s="15">
        <v>45707</v>
      </c>
      <c r="B29" s="16" t="s">
        <v>47</v>
      </c>
      <c r="C29" s="12">
        <v>-61.69</v>
      </c>
      <c r="D29" s="16" t="s">
        <v>8</v>
      </c>
      <c r="E29" s="12" t="s">
        <v>233</v>
      </c>
      <c r="F29" s="16" t="s">
        <v>9</v>
      </c>
      <c r="G29" s="17" t="s">
        <v>48</v>
      </c>
      <c r="H29" s="3">
        <f t="shared" si="3"/>
        <v>45689</v>
      </c>
      <c r="I29" t="str">
        <f t="shared" si="4"/>
        <v>Expense</v>
      </c>
      <c r="J29" t="str">
        <f t="shared" si="5"/>
        <v>SOFTWARE SUBSCRIPTION</v>
      </c>
    </row>
    <row r="30" spans="1:10" x14ac:dyDescent="0.25">
      <c r="A30" s="18">
        <v>45709</v>
      </c>
      <c r="B30" s="13" t="s">
        <v>11</v>
      </c>
      <c r="C30" s="11">
        <v>-184.64</v>
      </c>
      <c r="D30" s="13" t="s">
        <v>12</v>
      </c>
      <c r="E30" s="11" t="s">
        <v>227</v>
      </c>
      <c r="F30" s="13" t="s">
        <v>9</v>
      </c>
      <c r="G30" s="14" t="s">
        <v>49</v>
      </c>
      <c r="H30" s="3">
        <f t="shared" si="3"/>
        <v>45689</v>
      </c>
      <c r="I30" t="str">
        <f t="shared" si="4"/>
        <v>Expense</v>
      </c>
      <c r="J30" t="str">
        <f t="shared" si="5"/>
        <v>OFFICE DEPOT</v>
      </c>
    </row>
    <row r="31" spans="1:10" x14ac:dyDescent="0.25">
      <c r="A31" s="15">
        <v>45710</v>
      </c>
      <c r="B31" s="16" t="s">
        <v>7</v>
      </c>
      <c r="C31" s="12">
        <v>-2179.13</v>
      </c>
      <c r="D31" s="16" t="s">
        <v>8</v>
      </c>
      <c r="E31" s="12" t="s">
        <v>226</v>
      </c>
      <c r="F31" s="16" t="s">
        <v>9</v>
      </c>
      <c r="G31" s="17" t="s">
        <v>50</v>
      </c>
      <c r="H31" s="3">
        <f t="shared" si="3"/>
        <v>45689</v>
      </c>
      <c r="I31" t="str">
        <f t="shared" si="4"/>
        <v>Expense</v>
      </c>
      <c r="J31" t="str">
        <f t="shared" si="5"/>
        <v>RENT</v>
      </c>
    </row>
    <row r="32" spans="1:10" x14ac:dyDescent="0.25">
      <c r="A32" s="18">
        <v>45710</v>
      </c>
      <c r="B32" s="13" t="s">
        <v>16</v>
      </c>
      <c r="C32" s="11">
        <v>4634.59</v>
      </c>
      <c r="D32" s="13" t="s">
        <v>8</v>
      </c>
      <c r="E32" s="11" t="s">
        <v>229</v>
      </c>
      <c r="F32" s="13" t="s">
        <v>17</v>
      </c>
      <c r="G32" s="14" t="s">
        <v>51</v>
      </c>
      <c r="H32" s="3">
        <f t="shared" si="3"/>
        <v>45689</v>
      </c>
      <c r="I32" t="str">
        <f t="shared" si="4"/>
        <v>Income</v>
      </c>
      <c r="J32" t="str">
        <f t="shared" si="5"/>
        <v>CLIENT PAYMENT</v>
      </c>
    </row>
    <row r="33" spans="1:10" x14ac:dyDescent="0.25">
      <c r="A33" s="15">
        <v>45715</v>
      </c>
      <c r="B33" s="16" t="s">
        <v>19</v>
      </c>
      <c r="C33" s="12">
        <v>3879.54</v>
      </c>
      <c r="D33" s="16" t="s">
        <v>8</v>
      </c>
      <c r="E33" s="12" t="s">
        <v>229</v>
      </c>
      <c r="F33" s="16" t="s">
        <v>17</v>
      </c>
      <c r="G33" s="17" t="s">
        <v>52</v>
      </c>
      <c r="H33" s="3">
        <f t="shared" si="3"/>
        <v>45689</v>
      </c>
      <c r="I33" t="str">
        <f t="shared" si="4"/>
        <v>Income</v>
      </c>
      <c r="J33" t="str">
        <f t="shared" si="5"/>
        <v>STRIPE PAYOUT</v>
      </c>
    </row>
    <row r="34" spans="1:10" x14ac:dyDescent="0.25">
      <c r="A34" s="18">
        <v>45716</v>
      </c>
      <c r="B34" s="13" t="s">
        <v>19</v>
      </c>
      <c r="C34" s="11">
        <v>6933.5</v>
      </c>
      <c r="D34" s="13" t="s">
        <v>8</v>
      </c>
      <c r="E34" s="11" t="s">
        <v>229</v>
      </c>
      <c r="F34" s="13" t="s">
        <v>17</v>
      </c>
      <c r="G34" s="14" t="s">
        <v>53</v>
      </c>
      <c r="H34" s="3">
        <f t="shared" si="3"/>
        <v>45689</v>
      </c>
      <c r="I34" t="str">
        <f t="shared" si="4"/>
        <v>Income</v>
      </c>
      <c r="J34" t="str">
        <f t="shared" si="5"/>
        <v>STRIPE PAYOUT</v>
      </c>
    </row>
    <row r="35" spans="1:10" x14ac:dyDescent="0.25">
      <c r="A35" s="15">
        <v>45691</v>
      </c>
      <c r="B35" s="16" t="s">
        <v>19</v>
      </c>
      <c r="C35" s="12">
        <v>6708.29</v>
      </c>
      <c r="D35" s="16" t="s">
        <v>8</v>
      </c>
      <c r="E35" s="12" t="s">
        <v>229</v>
      </c>
      <c r="F35" s="16" t="s">
        <v>17</v>
      </c>
      <c r="G35" s="17" t="s">
        <v>54</v>
      </c>
      <c r="H35" s="3">
        <f t="shared" si="3"/>
        <v>45689</v>
      </c>
      <c r="I35" t="str">
        <f t="shared" si="4"/>
        <v>Income</v>
      </c>
      <c r="J35" t="str">
        <f t="shared" si="5"/>
        <v>STRIPE PAYOUT</v>
      </c>
    </row>
    <row r="36" spans="1:10" x14ac:dyDescent="0.25">
      <c r="A36" s="18">
        <v>45719</v>
      </c>
      <c r="B36" s="13" t="s">
        <v>19</v>
      </c>
      <c r="C36" s="11">
        <v>3993.17</v>
      </c>
      <c r="D36" s="13" t="s">
        <v>8</v>
      </c>
      <c r="E36" s="11" t="s">
        <v>229</v>
      </c>
      <c r="F36" s="13" t="s">
        <v>17</v>
      </c>
      <c r="G36" s="14" t="s">
        <v>55</v>
      </c>
      <c r="H36" s="3">
        <f t="shared" si="3"/>
        <v>45717</v>
      </c>
      <c r="I36" t="str">
        <f t="shared" si="4"/>
        <v>Income</v>
      </c>
      <c r="J36" t="str">
        <f t="shared" si="5"/>
        <v>STRIPE PAYOUT</v>
      </c>
    </row>
    <row r="37" spans="1:10" x14ac:dyDescent="0.25">
      <c r="A37" s="15">
        <v>45750</v>
      </c>
      <c r="B37" s="16" t="s">
        <v>16</v>
      </c>
      <c r="C37" s="12">
        <v>4813.0600000000004</v>
      </c>
      <c r="D37" s="16" t="s">
        <v>8</v>
      </c>
      <c r="E37" s="12" t="s">
        <v>229</v>
      </c>
      <c r="F37" s="16" t="s">
        <v>17</v>
      </c>
      <c r="G37" s="17" t="s">
        <v>56</v>
      </c>
      <c r="H37" s="3">
        <f t="shared" si="3"/>
        <v>45748</v>
      </c>
      <c r="I37" t="str">
        <f t="shared" si="4"/>
        <v>Income</v>
      </c>
      <c r="J37" t="str">
        <f t="shared" si="5"/>
        <v>CLIENT PAYMENT</v>
      </c>
    </row>
    <row r="38" spans="1:10" x14ac:dyDescent="0.25">
      <c r="A38" s="18">
        <v>45750</v>
      </c>
      <c r="B38" s="13" t="s">
        <v>14</v>
      </c>
      <c r="C38" s="11">
        <v>-72.400000000000006</v>
      </c>
      <c r="D38" s="13" t="s">
        <v>12</v>
      </c>
      <c r="E38" s="11" t="s">
        <v>228</v>
      </c>
      <c r="F38" s="13" t="s">
        <v>9</v>
      </c>
      <c r="G38" s="14" t="s">
        <v>57</v>
      </c>
      <c r="H38" s="3">
        <f t="shared" si="3"/>
        <v>45748</v>
      </c>
      <c r="I38" t="str">
        <f t="shared" si="4"/>
        <v>Expense</v>
      </c>
      <c r="J38" t="str">
        <f t="shared" si="5"/>
        <v>UBER</v>
      </c>
    </row>
    <row r="39" spans="1:10" x14ac:dyDescent="0.25">
      <c r="A39" s="15">
        <v>45780</v>
      </c>
      <c r="B39" s="16" t="s">
        <v>19</v>
      </c>
      <c r="C39" s="12">
        <v>4704.3</v>
      </c>
      <c r="D39" s="16" t="s">
        <v>8</v>
      </c>
      <c r="E39" s="12" t="s">
        <v>229</v>
      </c>
      <c r="F39" s="16" t="s">
        <v>17</v>
      </c>
      <c r="G39" s="17" t="s">
        <v>58</v>
      </c>
      <c r="H39" s="3">
        <f t="shared" si="3"/>
        <v>45778</v>
      </c>
      <c r="I39" t="str">
        <f t="shared" si="4"/>
        <v>Income</v>
      </c>
      <c r="J39" t="str">
        <f t="shared" si="5"/>
        <v>STRIPE PAYOUT</v>
      </c>
    </row>
    <row r="40" spans="1:10" x14ac:dyDescent="0.25">
      <c r="A40" s="18">
        <v>45780</v>
      </c>
      <c r="B40" s="13" t="s">
        <v>47</v>
      </c>
      <c r="C40" s="11">
        <v>-129.52000000000001</v>
      </c>
      <c r="D40" s="13" t="s">
        <v>8</v>
      </c>
      <c r="E40" s="11" t="s">
        <v>233</v>
      </c>
      <c r="F40" s="13" t="s">
        <v>9</v>
      </c>
      <c r="G40" s="14" t="s">
        <v>59</v>
      </c>
      <c r="H40" s="3">
        <f t="shared" si="3"/>
        <v>45778</v>
      </c>
      <c r="I40" t="str">
        <f t="shared" si="4"/>
        <v>Expense</v>
      </c>
      <c r="J40" t="str">
        <f t="shared" si="5"/>
        <v>SOFTWARE SUBSCRIPTION</v>
      </c>
    </row>
    <row r="41" spans="1:10" x14ac:dyDescent="0.25">
      <c r="A41" s="15">
        <v>45811</v>
      </c>
      <c r="B41" s="16" t="s">
        <v>19</v>
      </c>
      <c r="C41" s="12">
        <v>6314.85</v>
      </c>
      <c r="D41" s="16" t="s">
        <v>8</v>
      </c>
      <c r="E41" s="12" t="s">
        <v>229</v>
      </c>
      <c r="F41" s="16" t="s">
        <v>17</v>
      </c>
      <c r="G41" s="17" t="s">
        <v>60</v>
      </c>
      <c r="H41" s="3">
        <f t="shared" si="3"/>
        <v>45809</v>
      </c>
      <c r="I41" t="str">
        <f t="shared" si="4"/>
        <v>Income</v>
      </c>
      <c r="J41" t="str">
        <f t="shared" si="5"/>
        <v>STRIPE PAYOUT</v>
      </c>
    </row>
    <row r="42" spans="1:10" x14ac:dyDescent="0.25">
      <c r="A42" s="18">
        <v>45903</v>
      </c>
      <c r="B42" s="13" t="s">
        <v>7</v>
      </c>
      <c r="C42" s="11">
        <v>-2031.59</v>
      </c>
      <c r="D42" s="13" t="s">
        <v>8</v>
      </c>
      <c r="E42" s="11" t="s">
        <v>226</v>
      </c>
      <c r="F42" s="13" t="s">
        <v>9</v>
      </c>
      <c r="G42" s="14" t="s">
        <v>61</v>
      </c>
      <c r="H42" s="3">
        <f t="shared" si="3"/>
        <v>45901</v>
      </c>
      <c r="I42" t="str">
        <f t="shared" si="4"/>
        <v>Expense</v>
      </c>
      <c r="J42" t="str">
        <f t="shared" si="5"/>
        <v>RENT</v>
      </c>
    </row>
    <row r="43" spans="1:10" x14ac:dyDescent="0.25">
      <c r="A43" s="15">
        <v>45729</v>
      </c>
      <c r="B43" s="16" t="s">
        <v>19</v>
      </c>
      <c r="C43" s="12">
        <v>6540.2</v>
      </c>
      <c r="D43" s="16" t="s">
        <v>8</v>
      </c>
      <c r="E43" s="12" t="s">
        <v>229</v>
      </c>
      <c r="F43" s="16" t="s">
        <v>17</v>
      </c>
      <c r="G43" s="17" t="s">
        <v>62</v>
      </c>
      <c r="H43" s="3">
        <f t="shared" si="3"/>
        <v>45717</v>
      </c>
      <c r="I43" t="str">
        <f t="shared" si="4"/>
        <v>Income</v>
      </c>
      <c r="J43" t="str">
        <f t="shared" si="5"/>
        <v>STRIPE PAYOUT</v>
      </c>
    </row>
    <row r="44" spans="1:10" x14ac:dyDescent="0.25">
      <c r="A44" s="18">
        <v>45730</v>
      </c>
      <c r="B44" s="13" t="s">
        <v>21</v>
      </c>
      <c r="C44" s="11">
        <v>-3152.99</v>
      </c>
      <c r="D44" s="13" t="s">
        <v>8</v>
      </c>
      <c r="E44" s="11" t="s">
        <v>230</v>
      </c>
      <c r="F44" s="13" t="s">
        <v>9</v>
      </c>
      <c r="G44" s="14" t="s">
        <v>63</v>
      </c>
      <c r="H44" s="3">
        <f t="shared" si="3"/>
        <v>45717</v>
      </c>
      <c r="I44" t="str">
        <f t="shared" si="4"/>
        <v>Expense</v>
      </c>
      <c r="J44" t="str">
        <f t="shared" si="5"/>
        <v>PAYROLL</v>
      </c>
    </row>
    <row r="45" spans="1:10" x14ac:dyDescent="0.25">
      <c r="A45" s="15">
        <v>45731</v>
      </c>
      <c r="B45" s="16" t="s">
        <v>16</v>
      </c>
      <c r="C45" s="12">
        <v>4004.31</v>
      </c>
      <c r="D45" s="16" t="s">
        <v>8</v>
      </c>
      <c r="E45" s="12" t="s">
        <v>229</v>
      </c>
      <c r="F45" s="16" t="s">
        <v>17</v>
      </c>
      <c r="G45" s="17" t="s">
        <v>64</v>
      </c>
      <c r="H45" s="3">
        <f t="shared" si="3"/>
        <v>45717</v>
      </c>
      <c r="I45" t="str">
        <f t="shared" si="4"/>
        <v>Income</v>
      </c>
      <c r="J45" t="str">
        <f t="shared" si="5"/>
        <v>CLIENT PAYMENT</v>
      </c>
    </row>
    <row r="46" spans="1:10" x14ac:dyDescent="0.25">
      <c r="A46" s="18">
        <v>45731</v>
      </c>
      <c r="B46" s="13" t="s">
        <v>65</v>
      </c>
      <c r="C46" s="11">
        <v>-259.38</v>
      </c>
      <c r="D46" s="13" t="s">
        <v>8</v>
      </c>
      <c r="E46" s="11" t="s">
        <v>233</v>
      </c>
      <c r="F46" s="13" t="s">
        <v>9</v>
      </c>
      <c r="G46" s="14" t="s">
        <v>66</v>
      </c>
      <c r="H46" s="3">
        <f t="shared" si="3"/>
        <v>45717</v>
      </c>
      <c r="I46" t="str">
        <f t="shared" si="4"/>
        <v>Expense</v>
      </c>
      <c r="J46" t="str">
        <f t="shared" si="5"/>
        <v>AMAZON WEB SERVICES</v>
      </c>
    </row>
    <row r="47" spans="1:10" x14ac:dyDescent="0.25">
      <c r="A47" s="15">
        <v>45733</v>
      </c>
      <c r="B47" s="16" t="s">
        <v>34</v>
      </c>
      <c r="C47" s="12">
        <v>-476.14</v>
      </c>
      <c r="D47" s="16" t="s">
        <v>8</v>
      </c>
      <c r="E47" s="12" t="s">
        <v>232</v>
      </c>
      <c r="F47" s="16" t="s">
        <v>9</v>
      </c>
      <c r="G47" s="17" t="s">
        <v>67</v>
      </c>
      <c r="H47" s="3">
        <f t="shared" si="3"/>
        <v>45717</v>
      </c>
      <c r="I47" t="str">
        <f t="shared" si="4"/>
        <v>Expense</v>
      </c>
      <c r="J47" t="str">
        <f t="shared" si="5"/>
        <v>GOOGLE ADS</v>
      </c>
    </row>
    <row r="48" spans="1:10" x14ac:dyDescent="0.25">
      <c r="A48" s="18">
        <v>45741</v>
      </c>
      <c r="B48" s="13" t="s">
        <v>41</v>
      </c>
      <c r="C48" s="11">
        <v>-95.99</v>
      </c>
      <c r="D48" s="13" t="s">
        <v>8</v>
      </c>
      <c r="E48" s="11" t="s">
        <v>233</v>
      </c>
      <c r="F48" s="13" t="s">
        <v>9</v>
      </c>
      <c r="G48" s="14" t="s">
        <v>68</v>
      </c>
      <c r="H48" s="3">
        <f t="shared" si="3"/>
        <v>45717</v>
      </c>
      <c r="I48" t="str">
        <f t="shared" si="4"/>
        <v>Expense</v>
      </c>
      <c r="J48" t="str">
        <f t="shared" si="5"/>
        <v>SLACK SUBSCRIPTION</v>
      </c>
    </row>
    <row r="49" spans="1:10" x14ac:dyDescent="0.25">
      <c r="A49" s="15">
        <v>45743</v>
      </c>
      <c r="B49" s="16" t="s">
        <v>34</v>
      </c>
      <c r="C49" s="12">
        <v>-593</v>
      </c>
      <c r="D49" s="16" t="s">
        <v>8</v>
      </c>
      <c r="E49" s="12" t="s">
        <v>232</v>
      </c>
      <c r="F49" s="16" t="s">
        <v>9</v>
      </c>
      <c r="G49" s="17" t="s">
        <v>69</v>
      </c>
      <c r="H49" s="3">
        <f t="shared" si="3"/>
        <v>45717</v>
      </c>
      <c r="I49" t="str">
        <f t="shared" si="4"/>
        <v>Expense</v>
      </c>
      <c r="J49" t="str">
        <f t="shared" si="5"/>
        <v>GOOGLE ADS</v>
      </c>
    </row>
    <row r="50" spans="1:10" x14ac:dyDescent="0.25">
      <c r="A50" s="18">
        <v>45744</v>
      </c>
      <c r="B50" s="13" t="s">
        <v>70</v>
      </c>
      <c r="C50" s="11">
        <v>52.29</v>
      </c>
      <c r="D50" s="13" t="s">
        <v>8</v>
      </c>
      <c r="E50" s="11" t="s">
        <v>229</v>
      </c>
      <c r="F50" s="13" t="s">
        <v>17</v>
      </c>
      <c r="G50" s="14" t="s">
        <v>71</v>
      </c>
      <c r="H50" s="3">
        <f t="shared" si="3"/>
        <v>45717</v>
      </c>
      <c r="I50" t="str">
        <f t="shared" si="4"/>
        <v>Income</v>
      </c>
      <c r="J50" t="str">
        <f t="shared" si="5"/>
        <v>INTEREST INCOME</v>
      </c>
    </row>
    <row r="51" spans="1:10" x14ac:dyDescent="0.25">
      <c r="A51" s="15">
        <v>45746</v>
      </c>
      <c r="B51" s="16" t="s">
        <v>41</v>
      </c>
      <c r="C51" s="12">
        <v>-110.42</v>
      </c>
      <c r="D51" s="16" t="s">
        <v>8</v>
      </c>
      <c r="E51" s="12" t="s">
        <v>233</v>
      </c>
      <c r="F51" s="16" t="s">
        <v>9</v>
      </c>
      <c r="G51" s="17" t="s">
        <v>72</v>
      </c>
      <c r="H51" s="3">
        <f t="shared" si="3"/>
        <v>45717</v>
      </c>
      <c r="I51" t="str">
        <f t="shared" si="4"/>
        <v>Expense</v>
      </c>
      <c r="J51" t="str">
        <f t="shared" si="5"/>
        <v>SLACK SUBSCRIPTION</v>
      </c>
    </row>
    <row r="52" spans="1:10" x14ac:dyDescent="0.25">
      <c r="A52" s="18">
        <v>45720</v>
      </c>
      <c r="B52" s="13" t="s">
        <v>70</v>
      </c>
      <c r="C52" s="11">
        <v>42.4</v>
      </c>
      <c r="D52" s="13" t="s">
        <v>8</v>
      </c>
      <c r="E52" s="11" t="s">
        <v>229</v>
      </c>
      <c r="F52" s="13" t="s">
        <v>17</v>
      </c>
      <c r="G52" s="14" t="s">
        <v>73</v>
      </c>
      <c r="H52" s="3">
        <f t="shared" si="3"/>
        <v>45717</v>
      </c>
      <c r="I52" t="str">
        <f t="shared" si="4"/>
        <v>Income</v>
      </c>
      <c r="J52" t="str">
        <f t="shared" si="5"/>
        <v>INTEREST INCOME</v>
      </c>
    </row>
    <row r="53" spans="1:10" x14ac:dyDescent="0.25">
      <c r="A53" s="15">
        <v>45751</v>
      </c>
      <c r="B53" s="16" t="s">
        <v>19</v>
      </c>
      <c r="C53" s="12">
        <v>7095.86</v>
      </c>
      <c r="D53" s="16" t="s">
        <v>8</v>
      </c>
      <c r="E53" s="12" t="s">
        <v>229</v>
      </c>
      <c r="F53" s="16" t="s">
        <v>17</v>
      </c>
      <c r="G53" s="17" t="s">
        <v>74</v>
      </c>
      <c r="H53" s="3">
        <f t="shared" si="3"/>
        <v>45748</v>
      </c>
      <c r="I53" t="str">
        <f t="shared" si="4"/>
        <v>Income</v>
      </c>
      <c r="J53" t="str">
        <f t="shared" si="5"/>
        <v>STRIPE PAYOUT</v>
      </c>
    </row>
    <row r="54" spans="1:10" x14ac:dyDescent="0.25">
      <c r="A54" s="18">
        <v>45751</v>
      </c>
      <c r="B54" s="13" t="s">
        <v>28</v>
      </c>
      <c r="C54" s="11">
        <v>-36.82</v>
      </c>
      <c r="D54" s="13" t="s">
        <v>8</v>
      </c>
      <c r="E54" s="11" t="s">
        <v>231</v>
      </c>
      <c r="F54" s="13" t="s">
        <v>9</v>
      </c>
      <c r="G54" s="14" t="s">
        <v>75</v>
      </c>
      <c r="H54" s="3">
        <f t="shared" si="3"/>
        <v>45748</v>
      </c>
      <c r="I54" t="str">
        <f t="shared" si="4"/>
        <v>Expense</v>
      </c>
      <c r="J54" t="str">
        <f t="shared" si="5"/>
        <v>BANK FEE</v>
      </c>
    </row>
    <row r="55" spans="1:10" x14ac:dyDescent="0.25">
      <c r="A55" s="15">
        <v>45812</v>
      </c>
      <c r="B55" s="16" t="s">
        <v>41</v>
      </c>
      <c r="C55" s="12">
        <v>-96.14</v>
      </c>
      <c r="D55" s="16" t="s">
        <v>8</v>
      </c>
      <c r="E55" s="12" t="s">
        <v>233</v>
      </c>
      <c r="F55" s="16" t="s">
        <v>9</v>
      </c>
      <c r="G55" s="17" t="s">
        <v>76</v>
      </c>
      <c r="H55" s="3">
        <f t="shared" si="3"/>
        <v>45809</v>
      </c>
      <c r="I55" t="str">
        <f t="shared" si="4"/>
        <v>Expense</v>
      </c>
      <c r="J55" t="str">
        <f t="shared" si="5"/>
        <v>SLACK SUBSCRIPTION</v>
      </c>
    </row>
    <row r="56" spans="1:10" x14ac:dyDescent="0.25">
      <c r="A56" s="18">
        <v>45842</v>
      </c>
      <c r="B56" s="13" t="s">
        <v>11</v>
      </c>
      <c r="C56" s="11">
        <v>-45.97</v>
      </c>
      <c r="D56" s="13" t="s">
        <v>12</v>
      </c>
      <c r="E56" s="11" t="s">
        <v>227</v>
      </c>
      <c r="F56" s="13" t="s">
        <v>9</v>
      </c>
      <c r="G56" s="14" t="s">
        <v>77</v>
      </c>
      <c r="H56" s="3">
        <f t="shared" si="3"/>
        <v>45839</v>
      </c>
      <c r="I56" t="str">
        <f t="shared" si="4"/>
        <v>Expense</v>
      </c>
      <c r="J56" t="str">
        <f t="shared" si="5"/>
        <v>OFFICE DEPOT</v>
      </c>
    </row>
    <row r="57" spans="1:10" x14ac:dyDescent="0.25">
      <c r="A57" s="15">
        <v>45873</v>
      </c>
      <c r="B57" s="16" t="s">
        <v>19</v>
      </c>
      <c r="C57" s="12">
        <v>6804.65</v>
      </c>
      <c r="D57" s="16" t="s">
        <v>8</v>
      </c>
      <c r="E57" s="12" t="s">
        <v>229</v>
      </c>
      <c r="F57" s="16" t="s">
        <v>17</v>
      </c>
      <c r="G57" s="17" t="s">
        <v>78</v>
      </c>
      <c r="H57" s="3">
        <f t="shared" si="3"/>
        <v>45870</v>
      </c>
      <c r="I57" t="str">
        <f t="shared" si="4"/>
        <v>Income</v>
      </c>
      <c r="J57" t="str">
        <f t="shared" si="5"/>
        <v>STRIPE PAYOUT</v>
      </c>
    </row>
    <row r="58" spans="1:10" x14ac:dyDescent="0.25">
      <c r="A58" s="18">
        <v>45873</v>
      </c>
      <c r="B58" s="13" t="s">
        <v>41</v>
      </c>
      <c r="C58" s="11">
        <v>-67.040000000000006</v>
      </c>
      <c r="D58" s="13" t="s">
        <v>8</v>
      </c>
      <c r="E58" s="11" t="s">
        <v>233</v>
      </c>
      <c r="F58" s="13" t="s">
        <v>9</v>
      </c>
      <c r="G58" s="14" t="s">
        <v>79</v>
      </c>
      <c r="H58" s="3">
        <f t="shared" si="3"/>
        <v>45870</v>
      </c>
      <c r="I58" t="str">
        <f t="shared" si="4"/>
        <v>Expense</v>
      </c>
      <c r="J58" t="str">
        <f t="shared" si="5"/>
        <v>SLACK SUBSCRIPTION</v>
      </c>
    </row>
    <row r="59" spans="1:10" x14ac:dyDescent="0.25">
      <c r="A59" s="15">
        <v>45965</v>
      </c>
      <c r="B59" s="16" t="s">
        <v>19</v>
      </c>
      <c r="C59" s="12">
        <v>2502.5700000000002</v>
      </c>
      <c r="D59" s="16" t="s">
        <v>8</v>
      </c>
      <c r="E59" s="12" t="s">
        <v>229</v>
      </c>
      <c r="F59" s="16" t="s">
        <v>17</v>
      </c>
      <c r="G59" s="17" t="s">
        <v>80</v>
      </c>
      <c r="H59" s="3">
        <f t="shared" si="3"/>
        <v>45962</v>
      </c>
      <c r="I59" t="str">
        <f t="shared" si="4"/>
        <v>Income</v>
      </c>
      <c r="J59" t="str">
        <f t="shared" si="5"/>
        <v>STRIPE PAYOUT</v>
      </c>
    </row>
    <row r="60" spans="1:10" x14ac:dyDescent="0.25">
      <c r="A60" s="18">
        <v>45965</v>
      </c>
      <c r="B60" s="13" t="s">
        <v>21</v>
      </c>
      <c r="C60" s="11">
        <v>-4166.3500000000004</v>
      </c>
      <c r="D60" s="13" t="s">
        <v>8</v>
      </c>
      <c r="E60" s="11" t="s">
        <v>230</v>
      </c>
      <c r="F60" s="13" t="s">
        <v>9</v>
      </c>
      <c r="G60" s="14" t="s">
        <v>81</v>
      </c>
      <c r="H60" s="3">
        <f t="shared" si="3"/>
        <v>45962</v>
      </c>
      <c r="I60" t="str">
        <f t="shared" si="4"/>
        <v>Expense</v>
      </c>
      <c r="J60" t="str">
        <f t="shared" si="5"/>
        <v>PAYROLL</v>
      </c>
    </row>
    <row r="61" spans="1:10" x14ac:dyDescent="0.25">
      <c r="A61" s="15">
        <v>45762</v>
      </c>
      <c r="B61" s="16" t="s">
        <v>14</v>
      </c>
      <c r="C61" s="12">
        <v>-25.73</v>
      </c>
      <c r="D61" s="16" t="s">
        <v>12</v>
      </c>
      <c r="E61" s="12" t="s">
        <v>228</v>
      </c>
      <c r="F61" s="16" t="s">
        <v>9</v>
      </c>
      <c r="G61" s="17" t="s">
        <v>82</v>
      </c>
      <c r="H61" s="3">
        <f t="shared" si="3"/>
        <v>45748</v>
      </c>
      <c r="I61" t="str">
        <f t="shared" si="4"/>
        <v>Expense</v>
      </c>
      <c r="J61" t="str">
        <f t="shared" si="5"/>
        <v>UBER</v>
      </c>
    </row>
    <row r="62" spans="1:10" x14ac:dyDescent="0.25">
      <c r="A62" s="18">
        <v>45769</v>
      </c>
      <c r="B62" s="13" t="s">
        <v>19</v>
      </c>
      <c r="C62" s="11">
        <v>4509.1099999999997</v>
      </c>
      <c r="D62" s="13" t="s">
        <v>8</v>
      </c>
      <c r="E62" s="11" t="s">
        <v>229</v>
      </c>
      <c r="F62" s="13" t="s">
        <v>17</v>
      </c>
      <c r="G62" s="14" t="s">
        <v>83</v>
      </c>
      <c r="H62" s="3">
        <f t="shared" si="3"/>
        <v>45748</v>
      </c>
      <c r="I62" t="str">
        <f t="shared" si="4"/>
        <v>Income</v>
      </c>
      <c r="J62" t="str">
        <f t="shared" si="5"/>
        <v>STRIPE PAYOUT</v>
      </c>
    </row>
    <row r="63" spans="1:10" x14ac:dyDescent="0.25">
      <c r="A63" s="15">
        <v>45770</v>
      </c>
      <c r="B63" s="16" t="s">
        <v>47</v>
      </c>
      <c r="C63" s="12">
        <v>-137.91999999999999</v>
      </c>
      <c r="D63" s="16" t="s">
        <v>8</v>
      </c>
      <c r="E63" s="12" t="s">
        <v>233</v>
      </c>
      <c r="F63" s="16" t="s">
        <v>9</v>
      </c>
      <c r="G63" s="17" t="s">
        <v>84</v>
      </c>
      <c r="H63" s="3">
        <f t="shared" si="3"/>
        <v>45748</v>
      </c>
      <c r="I63" t="str">
        <f t="shared" si="4"/>
        <v>Expense</v>
      </c>
      <c r="J63" t="str">
        <f t="shared" si="5"/>
        <v>SOFTWARE SUBSCRIPTION</v>
      </c>
    </row>
    <row r="64" spans="1:10" x14ac:dyDescent="0.25">
      <c r="A64" s="18">
        <v>45772</v>
      </c>
      <c r="B64" s="13" t="s">
        <v>7</v>
      </c>
      <c r="C64" s="11">
        <v>-2151.54</v>
      </c>
      <c r="D64" s="13" t="s">
        <v>8</v>
      </c>
      <c r="E64" s="11" t="s">
        <v>226</v>
      </c>
      <c r="F64" s="13" t="s">
        <v>9</v>
      </c>
      <c r="G64" s="14" t="s">
        <v>85</v>
      </c>
      <c r="H64" s="3">
        <f t="shared" si="3"/>
        <v>45748</v>
      </c>
      <c r="I64" t="str">
        <f t="shared" si="4"/>
        <v>Expense</v>
      </c>
      <c r="J64" t="str">
        <f t="shared" si="5"/>
        <v>RENT</v>
      </c>
    </row>
    <row r="65" spans="1:10" x14ac:dyDescent="0.25">
      <c r="A65" s="15">
        <v>45772</v>
      </c>
      <c r="B65" s="16" t="s">
        <v>16</v>
      </c>
      <c r="C65" s="12">
        <v>4023.34</v>
      </c>
      <c r="D65" s="16" t="s">
        <v>8</v>
      </c>
      <c r="E65" s="12" t="s">
        <v>229</v>
      </c>
      <c r="F65" s="16" t="s">
        <v>17</v>
      </c>
      <c r="G65" s="17" t="s">
        <v>86</v>
      </c>
      <c r="H65" s="3">
        <f t="shared" si="3"/>
        <v>45748</v>
      </c>
      <c r="I65" t="str">
        <f t="shared" si="4"/>
        <v>Income</v>
      </c>
      <c r="J65" t="str">
        <f t="shared" si="5"/>
        <v>CLIENT PAYMENT</v>
      </c>
    </row>
    <row r="66" spans="1:10" x14ac:dyDescent="0.25">
      <c r="A66" s="18">
        <v>45774</v>
      </c>
      <c r="B66" s="13" t="s">
        <v>16</v>
      </c>
      <c r="C66" s="11">
        <v>5475.91</v>
      </c>
      <c r="D66" s="13" t="s">
        <v>8</v>
      </c>
      <c r="E66" s="11" t="s">
        <v>229</v>
      </c>
      <c r="F66" s="13" t="s">
        <v>17</v>
      </c>
      <c r="G66" s="14" t="s">
        <v>87</v>
      </c>
      <c r="H66" s="3">
        <f t="shared" si="3"/>
        <v>45748</v>
      </c>
      <c r="I66" t="str">
        <f t="shared" si="4"/>
        <v>Income</v>
      </c>
      <c r="J66" t="str">
        <f t="shared" si="5"/>
        <v>CLIENT PAYMENT</v>
      </c>
    </row>
    <row r="67" spans="1:10" x14ac:dyDescent="0.25">
      <c r="A67" s="15">
        <v>45777</v>
      </c>
      <c r="B67" s="16" t="s">
        <v>21</v>
      </c>
      <c r="C67" s="12">
        <v>-2977.57</v>
      </c>
      <c r="D67" s="16" t="s">
        <v>8</v>
      </c>
      <c r="E67" s="12" t="s">
        <v>230</v>
      </c>
      <c r="F67" s="16" t="s">
        <v>9</v>
      </c>
      <c r="G67" s="17" t="s">
        <v>88</v>
      </c>
      <c r="H67" s="3">
        <f t="shared" ref="H67:H130" si="6">DATE(YEAR(A67),MONTH(A67),1)</f>
        <v>45748</v>
      </c>
      <c r="I67" t="str">
        <f t="shared" ref="I67:I130" si="7">IF(C67&lt;0,"Expense","Income")</f>
        <v>Expense</v>
      </c>
      <c r="J67" t="str">
        <f t="shared" ref="J67:J130" si="8">UPPER(TRIM(B67))</f>
        <v>PAYROLL</v>
      </c>
    </row>
    <row r="68" spans="1:10" x14ac:dyDescent="0.25">
      <c r="A68" s="18">
        <v>45693</v>
      </c>
      <c r="B68" s="13" t="s">
        <v>19</v>
      </c>
      <c r="C68" s="11">
        <v>2803.3</v>
      </c>
      <c r="D68" s="13" t="s">
        <v>8</v>
      </c>
      <c r="E68" s="11" t="s">
        <v>229</v>
      </c>
      <c r="F68" s="13" t="s">
        <v>17</v>
      </c>
      <c r="G68" s="14" t="s">
        <v>89</v>
      </c>
      <c r="H68" s="3">
        <f t="shared" si="6"/>
        <v>45689</v>
      </c>
      <c r="I68" t="str">
        <f t="shared" si="7"/>
        <v>Income</v>
      </c>
      <c r="J68" t="str">
        <f t="shared" si="8"/>
        <v>STRIPE PAYOUT</v>
      </c>
    </row>
    <row r="69" spans="1:10" x14ac:dyDescent="0.25">
      <c r="A69" s="15">
        <v>45693</v>
      </c>
      <c r="B69" s="16" t="s">
        <v>21</v>
      </c>
      <c r="C69" s="12">
        <v>-3555.81</v>
      </c>
      <c r="D69" s="16" t="s">
        <v>8</v>
      </c>
      <c r="E69" s="12" t="s">
        <v>230</v>
      </c>
      <c r="F69" s="16" t="s">
        <v>9</v>
      </c>
      <c r="G69" s="17" t="s">
        <v>90</v>
      </c>
      <c r="H69" s="3">
        <f t="shared" si="6"/>
        <v>45689</v>
      </c>
      <c r="I69" t="str">
        <f t="shared" si="7"/>
        <v>Expense</v>
      </c>
      <c r="J69" t="str">
        <f t="shared" si="8"/>
        <v>PAYROLL</v>
      </c>
    </row>
    <row r="70" spans="1:10" x14ac:dyDescent="0.25">
      <c r="A70" s="18">
        <v>45721</v>
      </c>
      <c r="B70" s="13" t="s">
        <v>16</v>
      </c>
      <c r="C70" s="11">
        <v>3925.03</v>
      </c>
      <c r="D70" s="13" t="s">
        <v>8</v>
      </c>
      <c r="E70" s="11" t="s">
        <v>229</v>
      </c>
      <c r="F70" s="13" t="s">
        <v>17</v>
      </c>
      <c r="G70" s="14" t="s">
        <v>91</v>
      </c>
      <c r="H70" s="3">
        <f t="shared" si="6"/>
        <v>45717</v>
      </c>
      <c r="I70" t="str">
        <f t="shared" si="7"/>
        <v>Income</v>
      </c>
      <c r="J70" t="str">
        <f t="shared" si="8"/>
        <v>CLIENT PAYMENT</v>
      </c>
    </row>
    <row r="71" spans="1:10" x14ac:dyDescent="0.25">
      <c r="A71" s="15">
        <v>45752</v>
      </c>
      <c r="B71" s="16" t="s">
        <v>41</v>
      </c>
      <c r="C71" s="12">
        <v>-115.45</v>
      </c>
      <c r="D71" s="16" t="s">
        <v>8</v>
      </c>
      <c r="E71" s="12" t="s">
        <v>233</v>
      </c>
      <c r="F71" s="16" t="s">
        <v>9</v>
      </c>
      <c r="G71" s="17" t="s">
        <v>92</v>
      </c>
      <c r="H71" s="3">
        <f t="shared" si="6"/>
        <v>45748</v>
      </c>
      <c r="I71" t="str">
        <f t="shared" si="7"/>
        <v>Expense</v>
      </c>
      <c r="J71" t="str">
        <f t="shared" si="8"/>
        <v>SLACK SUBSCRIPTION</v>
      </c>
    </row>
    <row r="72" spans="1:10" x14ac:dyDescent="0.25">
      <c r="A72" s="18">
        <v>45782</v>
      </c>
      <c r="B72" s="13" t="s">
        <v>28</v>
      </c>
      <c r="C72" s="11">
        <v>-31.08</v>
      </c>
      <c r="D72" s="13" t="s">
        <v>8</v>
      </c>
      <c r="E72" s="11" t="s">
        <v>231</v>
      </c>
      <c r="F72" s="13" t="s">
        <v>9</v>
      </c>
      <c r="G72" s="14" t="s">
        <v>93</v>
      </c>
      <c r="H72" s="3">
        <f t="shared" si="6"/>
        <v>45778</v>
      </c>
      <c r="I72" t="str">
        <f t="shared" si="7"/>
        <v>Expense</v>
      </c>
      <c r="J72" t="str">
        <f t="shared" si="8"/>
        <v>BANK FEE</v>
      </c>
    </row>
    <row r="73" spans="1:10" x14ac:dyDescent="0.25">
      <c r="A73" s="15">
        <v>45843</v>
      </c>
      <c r="B73" s="16" t="s">
        <v>16</v>
      </c>
      <c r="C73" s="12">
        <v>1699.93</v>
      </c>
      <c r="D73" s="16" t="s">
        <v>8</v>
      </c>
      <c r="E73" s="12" t="s">
        <v>229</v>
      </c>
      <c r="F73" s="16" t="s">
        <v>17</v>
      </c>
      <c r="G73" s="17" t="s">
        <v>94</v>
      </c>
      <c r="H73" s="3">
        <f t="shared" si="6"/>
        <v>45839</v>
      </c>
      <c r="I73" t="str">
        <f t="shared" si="7"/>
        <v>Income</v>
      </c>
      <c r="J73" t="str">
        <f t="shared" si="8"/>
        <v>CLIENT PAYMENT</v>
      </c>
    </row>
    <row r="74" spans="1:10" x14ac:dyDescent="0.25">
      <c r="A74" s="18">
        <v>45843</v>
      </c>
      <c r="B74" s="13" t="s">
        <v>47</v>
      </c>
      <c r="C74" s="11">
        <v>-154.32</v>
      </c>
      <c r="D74" s="13" t="s">
        <v>8</v>
      </c>
      <c r="E74" s="11" t="s">
        <v>233</v>
      </c>
      <c r="F74" s="13" t="s">
        <v>9</v>
      </c>
      <c r="G74" s="14" t="s">
        <v>95</v>
      </c>
      <c r="H74" s="3">
        <f t="shared" si="6"/>
        <v>45839</v>
      </c>
      <c r="I74" t="str">
        <f t="shared" si="7"/>
        <v>Expense</v>
      </c>
      <c r="J74" t="str">
        <f t="shared" si="8"/>
        <v>SOFTWARE SUBSCRIPTION</v>
      </c>
    </row>
    <row r="75" spans="1:10" x14ac:dyDescent="0.25">
      <c r="A75" s="15">
        <v>45874</v>
      </c>
      <c r="B75" s="16" t="s">
        <v>21</v>
      </c>
      <c r="C75" s="12">
        <v>-3268.9</v>
      </c>
      <c r="D75" s="16" t="s">
        <v>8</v>
      </c>
      <c r="E75" s="12" t="s">
        <v>230</v>
      </c>
      <c r="F75" s="16" t="s">
        <v>9</v>
      </c>
      <c r="G75" s="17" t="s">
        <v>96</v>
      </c>
      <c r="H75" s="3">
        <f t="shared" si="6"/>
        <v>45870</v>
      </c>
      <c r="I75" t="str">
        <f t="shared" si="7"/>
        <v>Expense</v>
      </c>
      <c r="J75" t="str">
        <f t="shared" si="8"/>
        <v>PAYROLL</v>
      </c>
    </row>
    <row r="76" spans="1:10" x14ac:dyDescent="0.25">
      <c r="A76" s="18">
        <v>45874</v>
      </c>
      <c r="B76" s="13" t="s">
        <v>16</v>
      </c>
      <c r="C76" s="11">
        <v>5358.48</v>
      </c>
      <c r="D76" s="13" t="s">
        <v>8</v>
      </c>
      <c r="E76" s="11" t="s">
        <v>229</v>
      </c>
      <c r="F76" s="13" t="s">
        <v>17</v>
      </c>
      <c r="G76" s="14" t="s">
        <v>97</v>
      </c>
      <c r="H76" s="3">
        <f t="shared" si="6"/>
        <v>45870</v>
      </c>
      <c r="I76" t="str">
        <f t="shared" si="7"/>
        <v>Income</v>
      </c>
      <c r="J76" t="str">
        <f t="shared" si="8"/>
        <v>CLIENT PAYMENT</v>
      </c>
    </row>
    <row r="77" spans="1:10" x14ac:dyDescent="0.25">
      <c r="A77" s="15">
        <v>45996</v>
      </c>
      <c r="B77" s="16" t="s">
        <v>16</v>
      </c>
      <c r="C77" s="12">
        <v>3444.97</v>
      </c>
      <c r="D77" s="16" t="s">
        <v>8</v>
      </c>
      <c r="E77" s="12" t="s">
        <v>229</v>
      </c>
      <c r="F77" s="16" t="s">
        <v>17</v>
      </c>
      <c r="G77" s="17" t="s">
        <v>98</v>
      </c>
      <c r="H77" s="3">
        <f t="shared" si="6"/>
        <v>45992</v>
      </c>
      <c r="I77" t="str">
        <f t="shared" si="7"/>
        <v>Income</v>
      </c>
      <c r="J77" t="str">
        <f t="shared" si="8"/>
        <v>CLIENT PAYMENT</v>
      </c>
    </row>
    <row r="78" spans="1:10" x14ac:dyDescent="0.25">
      <c r="A78" s="18">
        <v>45792</v>
      </c>
      <c r="B78" s="13" t="s">
        <v>34</v>
      </c>
      <c r="C78" s="11">
        <v>-962.68</v>
      </c>
      <c r="D78" s="13" t="s">
        <v>8</v>
      </c>
      <c r="E78" s="11" t="s">
        <v>232</v>
      </c>
      <c r="F78" s="13" t="s">
        <v>9</v>
      </c>
      <c r="G78" s="14" t="s">
        <v>99</v>
      </c>
      <c r="H78" s="3">
        <f t="shared" si="6"/>
        <v>45778</v>
      </c>
      <c r="I78" t="str">
        <f t="shared" si="7"/>
        <v>Expense</v>
      </c>
      <c r="J78" t="str">
        <f t="shared" si="8"/>
        <v>GOOGLE ADS</v>
      </c>
    </row>
    <row r="79" spans="1:10" x14ac:dyDescent="0.25">
      <c r="A79" s="15">
        <v>45792</v>
      </c>
      <c r="B79" s="16" t="s">
        <v>21</v>
      </c>
      <c r="C79" s="12">
        <v>-2907.16</v>
      </c>
      <c r="D79" s="16" t="s">
        <v>8</v>
      </c>
      <c r="E79" s="12" t="s">
        <v>230</v>
      </c>
      <c r="F79" s="16" t="s">
        <v>9</v>
      </c>
      <c r="G79" s="17" t="s">
        <v>100</v>
      </c>
      <c r="H79" s="3">
        <f t="shared" si="6"/>
        <v>45778</v>
      </c>
      <c r="I79" t="str">
        <f t="shared" si="7"/>
        <v>Expense</v>
      </c>
      <c r="J79" t="str">
        <f t="shared" si="8"/>
        <v>PAYROLL</v>
      </c>
    </row>
    <row r="80" spans="1:10" x14ac:dyDescent="0.25">
      <c r="A80" s="18">
        <v>45793</v>
      </c>
      <c r="B80" s="13" t="s">
        <v>19</v>
      </c>
      <c r="C80" s="11">
        <v>3021.15</v>
      </c>
      <c r="D80" s="13" t="s">
        <v>8</v>
      </c>
      <c r="E80" s="11" t="s">
        <v>229</v>
      </c>
      <c r="F80" s="13" t="s">
        <v>17</v>
      </c>
      <c r="G80" s="14" t="s">
        <v>101</v>
      </c>
      <c r="H80" s="3">
        <f t="shared" si="6"/>
        <v>45778</v>
      </c>
      <c r="I80" t="str">
        <f t="shared" si="7"/>
        <v>Income</v>
      </c>
      <c r="J80" t="str">
        <f t="shared" si="8"/>
        <v>STRIPE PAYOUT</v>
      </c>
    </row>
    <row r="81" spans="1:10" x14ac:dyDescent="0.25">
      <c r="A81" s="15">
        <v>45800</v>
      </c>
      <c r="B81" s="16" t="s">
        <v>7</v>
      </c>
      <c r="C81" s="12">
        <v>-2197.84</v>
      </c>
      <c r="D81" s="16" t="s">
        <v>8</v>
      </c>
      <c r="E81" s="12" t="s">
        <v>226</v>
      </c>
      <c r="F81" s="16" t="s">
        <v>9</v>
      </c>
      <c r="G81" s="17" t="s">
        <v>102</v>
      </c>
      <c r="H81" s="3">
        <f t="shared" si="6"/>
        <v>45778</v>
      </c>
      <c r="I81" t="str">
        <f t="shared" si="7"/>
        <v>Expense</v>
      </c>
      <c r="J81" t="str">
        <f t="shared" si="8"/>
        <v>RENT</v>
      </c>
    </row>
    <row r="82" spans="1:10" x14ac:dyDescent="0.25">
      <c r="A82" s="18">
        <v>45801</v>
      </c>
      <c r="B82" s="13" t="s">
        <v>19</v>
      </c>
      <c r="C82" s="11">
        <v>2108.7800000000002</v>
      </c>
      <c r="D82" s="13" t="s">
        <v>8</v>
      </c>
      <c r="E82" s="11" t="s">
        <v>229</v>
      </c>
      <c r="F82" s="13" t="s">
        <v>17</v>
      </c>
      <c r="G82" s="14" t="s">
        <v>103</v>
      </c>
      <c r="H82" s="3">
        <f t="shared" si="6"/>
        <v>45778</v>
      </c>
      <c r="I82" t="str">
        <f t="shared" si="7"/>
        <v>Income</v>
      </c>
      <c r="J82" t="str">
        <f t="shared" si="8"/>
        <v>STRIPE PAYOUT</v>
      </c>
    </row>
    <row r="83" spans="1:10" x14ac:dyDescent="0.25">
      <c r="A83" s="15">
        <v>45803</v>
      </c>
      <c r="B83" s="16" t="s">
        <v>14</v>
      </c>
      <c r="C83" s="12">
        <v>-28.65</v>
      </c>
      <c r="D83" s="16" t="s">
        <v>12</v>
      </c>
      <c r="E83" s="12" t="s">
        <v>228</v>
      </c>
      <c r="F83" s="16" t="s">
        <v>9</v>
      </c>
      <c r="G83" s="17" t="s">
        <v>104</v>
      </c>
      <c r="H83" s="3">
        <f t="shared" si="6"/>
        <v>45778</v>
      </c>
      <c r="I83" t="str">
        <f t="shared" si="7"/>
        <v>Expense</v>
      </c>
      <c r="J83" t="str">
        <f t="shared" si="8"/>
        <v>UBER</v>
      </c>
    </row>
    <row r="84" spans="1:10" x14ac:dyDescent="0.25">
      <c r="A84" s="18">
        <v>45807</v>
      </c>
      <c r="B84" s="13" t="s">
        <v>19</v>
      </c>
      <c r="C84" s="11">
        <v>6829.58</v>
      </c>
      <c r="D84" s="13" t="s">
        <v>8</v>
      </c>
      <c r="E84" s="11" t="s">
        <v>229</v>
      </c>
      <c r="F84" s="13" t="s">
        <v>17</v>
      </c>
      <c r="G84" s="14" t="s">
        <v>105</v>
      </c>
      <c r="H84" s="3">
        <f t="shared" si="6"/>
        <v>45778</v>
      </c>
      <c r="I84" t="str">
        <f t="shared" si="7"/>
        <v>Income</v>
      </c>
      <c r="J84" t="str">
        <f t="shared" si="8"/>
        <v>STRIPE PAYOUT</v>
      </c>
    </row>
    <row r="85" spans="1:10" x14ac:dyDescent="0.25">
      <c r="A85" s="15">
        <v>45663</v>
      </c>
      <c r="B85" s="16" t="s">
        <v>19</v>
      </c>
      <c r="C85" s="12">
        <v>7416.26</v>
      </c>
      <c r="D85" s="16" t="s">
        <v>8</v>
      </c>
      <c r="E85" s="12" t="s">
        <v>229</v>
      </c>
      <c r="F85" s="16" t="s">
        <v>17</v>
      </c>
      <c r="G85" s="17" t="s">
        <v>106</v>
      </c>
      <c r="H85" s="3">
        <f t="shared" si="6"/>
        <v>45658</v>
      </c>
      <c r="I85" t="str">
        <f t="shared" si="7"/>
        <v>Income</v>
      </c>
      <c r="J85" t="str">
        <f t="shared" si="8"/>
        <v>STRIPE PAYOUT</v>
      </c>
    </row>
    <row r="86" spans="1:10" x14ac:dyDescent="0.25">
      <c r="A86" s="18">
        <v>45694</v>
      </c>
      <c r="B86" s="13" t="s">
        <v>47</v>
      </c>
      <c r="C86" s="11">
        <v>-101.81</v>
      </c>
      <c r="D86" s="13" t="s">
        <v>8</v>
      </c>
      <c r="E86" s="11" t="s">
        <v>233</v>
      </c>
      <c r="F86" s="13" t="s">
        <v>9</v>
      </c>
      <c r="G86" s="14" t="s">
        <v>107</v>
      </c>
      <c r="H86" s="3">
        <f t="shared" si="6"/>
        <v>45689</v>
      </c>
      <c r="I86" t="str">
        <f t="shared" si="7"/>
        <v>Expense</v>
      </c>
      <c r="J86" t="str">
        <f t="shared" si="8"/>
        <v>SOFTWARE SUBSCRIPTION</v>
      </c>
    </row>
    <row r="87" spans="1:10" x14ac:dyDescent="0.25">
      <c r="A87" s="15">
        <v>45694</v>
      </c>
      <c r="B87" s="16" t="s">
        <v>41</v>
      </c>
      <c r="C87" s="12">
        <v>-52.68</v>
      </c>
      <c r="D87" s="16" t="s">
        <v>8</v>
      </c>
      <c r="E87" s="12" t="s">
        <v>233</v>
      </c>
      <c r="F87" s="16" t="s">
        <v>9</v>
      </c>
      <c r="G87" s="17" t="s">
        <v>108</v>
      </c>
      <c r="H87" s="3">
        <f t="shared" si="6"/>
        <v>45689</v>
      </c>
      <c r="I87" t="str">
        <f t="shared" si="7"/>
        <v>Expense</v>
      </c>
      <c r="J87" t="str">
        <f t="shared" si="8"/>
        <v>SLACK SUBSCRIPTION</v>
      </c>
    </row>
    <row r="88" spans="1:10" x14ac:dyDescent="0.25">
      <c r="A88" s="18">
        <v>45694</v>
      </c>
      <c r="B88" s="13" t="s">
        <v>7</v>
      </c>
      <c r="C88" s="11">
        <v>-2049.4899999999998</v>
      </c>
      <c r="D88" s="13" t="s">
        <v>8</v>
      </c>
      <c r="E88" s="11" t="s">
        <v>226</v>
      </c>
      <c r="F88" s="13" t="s">
        <v>9</v>
      </c>
      <c r="G88" s="14" t="s">
        <v>109</v>
      </c>
      <c r="H88" s="3">
        <f t="shared" si="6"/>
        <v>45689</v>
      </c>
      <c r="I88" t="str">
        <f t="shared" si="7"/>
        <v>Expense</v>
      </c>
      <c r="J88" t="str">
        <f t="shared" si="8"/>
        <v>RENT</v>
      </c>
    </row>
    <row r="89" spans="1:10" x14ac:dyDescent="0.25">
      <c r="A89" s="15">
        <v>45694</v>
      </c>
      <c r="B89" s="16" t="s">
        <v>65</v>
      </c>
      <c r="C89" s="12">
        <v>-77.45</v>
      </c>
      <c r="D89" s="16" t="s">
        <v>8</v>
      </c>
      <c r="E89" s="12" t="s">
        <v>233</v>
      </c>
      <c r="F89" s="16" t="s">
        <v>9</v>
      </c>
      <c r="G89" s="17" t="s">
        <v>110</v>
      </c>
      <c r="H89" s="3">
        <f t="shared" si="6"/>
        <v>45689</v>
      </c>
      <c r="I89" t="str">
        <f t="shared" si="7"/>
        <v>Expense</v>
      </c>
      <c r="J89" t="str">
        <f t="shared" si="8"/>
        <v>AMAZON WEB SERVICES</v>
      </c>
    </row>
    <row r="90" spans="1:10" x14ac:dyDescent="0.25">
      <c r="A90" s="18">
        <v>45722</v>
      </c>
      <c r="B90" s="13" t="s">
        <v>21</v>
      </c>
      <c r="C90" s="11">
        <v>-3885.24</v>
      </c>
      <c r="D90" s="13" t="s">
        <v>8</v>
      </c>
      <c r="E90" s="11" t="s">
        <v>230</v>
      </c>
      <c r="F90" s="13" t="s">
        <v>9</v>
      </c>
      <c r="G90" s="14" t="s">
        <v>111</v>
      </c>
      <c r="H90" s="3">
        <f t="shared" si="6"/>
        <v>45717</v>
      </c>
      <c r="I90" t="str">
        <f t="shared" si="7"/>
        <v>Expense</v>
      </c>
      <c r="J90" t="str">
        <f t="shared" si="8"/>
        <v>PAYROLL</v>
      </c>
    </row>
    <row r="91" spans="1:10" x14ac:dyDescent="0.25">
      <c r="A91" s="15">
        <v>45783</v>
      </c>
      <c r="B91" s="16" t="s">
        <v>28</v>
      </c>
      <c r="C91" s="12">
        <v>-38.729999999999997</v>
      </c>
      <c r="D91" s="16" t="s">
        <v>8</v>
      </c>
      <c r="E91" s="12" t="s">
        <v>231</v>
      </c>
      <c r="F91" s="16" t="s">
        <v>9</v>
      </c>
      <c r="G91" s="17" t="s">
        <v>112</v>
      </c>
      <c r="H91" s="3">
        <f t="shared" si="6"/>
        <v>45778</v>
      </c>
      <c r="I91" t="str">
        <f t="shared" si="7"/>
        <v>Expense</v>
      </c>
      <c r="J91" t="str">
        <f t="shared" si="8"/>
        <v>BANK FEE</v>
      </c>
    </row>
    <row r="92" spans="1:10" x14ac:dyDescent="0.25">
      <c r="A92" s="18">
        <v>45821</v>
      </c>
      <c r="B92" s="13" t="s">
        <v>19</v>
      </c>
      <c r="C92" s="11">
        <v>6943.92</v>
      </c>
      <c r="D92" s="13" t="s">
        <v>8</v>
      </c>
      <c r="E92" s="11" t="s">
        <v>229</v>
      </c>
      <c r="F92" s="13" t="s">
        <v>17</v>
      </c>
      <c r="G92" s="14" t="s">
        <v>113</v>
      </c>
      <c r="H92" s="3">
        <f t="shared" si="6"/>
        <v>45809</v>
      </c>
      <c r="I92" t="str">
        <f t="shared" si="7"/>
        <v>Income</v>
      </c>
      <c r="J92" t="str">
        <f t="shared" si="8"/>
        <v>STRIPE PAYOUT</v>
      </c>
    </row>
    <row r="93" spans="1:10" x14ac:dyDescent="0.25">
      <c r="A93" s="15">
        <v>45822</v>
      </c>
      <c r="B93" s="16" t="s">
        <v>19</v>
      </c>
      <c r="C93" s="12">
        <v>4568.1499999999996</v>
      </c>
      <c r="D93" s="16" t="s">
        <v>8</v>
      </c>
      <c r="E93" s="12" t="s">
        <v>229</v>
      </c>
      <c r="F93" s="16" t="s">
        <v>17</v>
      </c>
      <c r="G93" s="17" t="s">
        <v>114</v>
      </c>
      <c r="H93" s="3">
        <f t="shared" si="6"/>
        <v>45809</v>
      </c>
      <c r="I93" t="str">
        <f t="shared" si="7"/>
        <v>Income</v>
      </c>
      <c r="J93" t="str">
        <f t="shared" si="8"/>
        <v>STRIPE PAYOUT</v>
      </c>
    </row>
    <row r="94" spans="1:10" x14ac:dyDescent="0.25">
      <c r="A94" s="18">
        <v>45826</v>
      </c>
      <c r="B94" s="13" t="s">
        <v>70</v>
      </c>
      <c r="C94" s="11">
        <v>39.11</v>
      </c>
      <c r="D94" s="13" t="s">
        <v>8</v>
      </c>
      <c r="E94" s="11" t="s">
        <v>229</v>
      </c>
      <c r="F94" s="13" t="s">
        <v>17</v>
      </c>
      <c r="G94" s="14" t="s">
        <v>115</v>
      </c>
      <c r="H94" s="3">
        <f t="shared" si="6"/>
        <v>45809</v>
      </c>
      <c r="I94" t="str">
        <f t="shared" si="7"/>
        <v>Income</v>
      </c>
      <c r="J94" t="str">
        <f t="shared" si="8"/>
        <v>INTEREST INCOME</v>
      </c>
    </row>
    <row r="95" spans="1:10" x14ac:dyDescent="0.25">
      <c r="A95" s="15">
        <v>45831</v>
      </c>
      <c r="B95" s="16" t="s">
        <v>19</v>
      </c>
      <c r="C95" s="12">
        <v>7256.71</v>
      </c>
      <c r="D95" s="16" t="s">
        <v>8</v>
      </c>
      <c r="E95" s="12" t="s">
        <v>229</v>
      </c>
      <c r="F95" s="16" t="s">
        <v>17</v>
      </c>
      <c r="G95" s="17" t="s">
        <v>116</v>
      </c>
      <c r="H95" s="3">
        <f t="shared" si="6"/>
        <v>45809</v>
      </c>
      <c r="I95" t="str">
        <f t="shared" si="7"/>
        <v>Income</v>
      </c>
      <c r="J95" t="str">
        <f t="shared" si="8"/>
        <v>STRIPE PAYOUT</v>
      </c>
    </row>
    <row r="96" spans="1:10" x14ac:dyDescent="0.25">
      <c r="A96" s="18">
        <v>45834</v>
      </c>
      <c r="B96" s="13" t="s">
        <v>19</v>
      </c>
      <c r="C96" s="11">
        <v>6275.24</v>
      </c>
      <c r="D96" s="13" t="s">
        <v>8</v>
      </c>
      <c r="E96" s="11" t="s">
        <v>229</v>
      </c>
      <c r="F96" s="13" t="s">
        <v>17</v>
      </c>
      <c r="G96" s="14" t="s">
        <v>117</v>
      </c>
      <c r="H96" s="3">
        <f t="shared" si="6"/>
        <v>45809</v>
      </c>
      <c r="I96" t="str">
        <f t="shared" si="7"/>
        <v>Income</v>
      </c>
      <c r="J96" t="str">
        <f t="shared" si="8"/>
        <v>STRIPE PAYOUT</v>
      </c>
    </row>
    <row r="97" spans="1:10" x14ac:dyDescent="0.25">
      <c r="A97" s="15">
        <v>45835</v>
      </c>
      <c r="B97" s="16" t="s">
        <v>7</v>
      </c>
      <c r="C97" s="12">
        <v>-1900.22</v>
      </c>
      <c r="D97" s="16" t="s">
        <v>8</v>
      </c>
      <c r="E97" s="12" t="s">
        <v>226</v>
      </c>
      <c r="F97" s="16" t="s">
        <v>9</v>
      </c>
      <c r="G97" s="17" t="s">
        <v>118</v>
      </c>
      <c r="H97" s="3">
        <f t="shared" si="6"/>
        <v>45809</v>
      </c>
      <c r="I97" t="str">
        <f t="shared" si="7"/>
        <v>Expense</v>
      </c>
      <c r="J97" t="str">
        <f t="shared" si="8"/>
        <v>RENT</v>
      </c>
    </row>
    <row r="98" spans="1:10" x14ac:dyDescent="0.25">
      <c r="A98" s="18">
        <v>45836</v>
      </c>
      <c r="B98" s="13" t="s">
        <v>19</v>
      </c>
      <c r="C98" s="11">
        <v>6668.65</v>
      </c>
      <c r="D98" s="13" t="s">
        <v>8</v>
      </c>
      <c r="E98" s="11" t="s">
        <v>229</v>
      </c>
      <c r="F98" s="13" t="s">
        <v>17</v>
      </c>
      <c r="G98" s="14" t="s">
        <v>119</v>
      </c>
      <c r="H98" s="3">
        <f t="shared" si="6"/>
        <v>45809</v>
      </c>
      <c r="I98" t="str">
        <f t="shared" si="7"/>
        <v>Income</v>
      </c>
      <c r="J98" t="str">
        <f t="shared" si="8"/>
        <v>STRIPE PAYOUT</v>
      </c>
    </row>
    <row r="99" spans="1:10" x14ac:dyDescent="0.25">
      <c r="A99" s="15">
        <v>45836</v>
      </c>
      <c r="B99" s="16" t="s">
        <v>21</v>
      </c>
      <c r="C99" s="12">
        <v>-3902.68</v>
      </c>
      <c r="D99" s="16" t="s">
        <v>8</v>
      </c>
      <c r="E99" s="12" t="s">
        <v>230</v>
      </c>
      <c r="F99" s="16" t="s">
        <v>9</v>
      </c>
      <c r="G99" s="17" t="s">
        <v>120</v>
      </c>
      <c r="H99" s="3">
        <f t="shared" si="6"/>
        <v>45809</v>
      </c>
      <c r="I99" t="str">
        <f t="shared" si="7"/>
        <v>Expense</v>
      </c>
      <c r="J99" t="str">
        <f t="shared" si="8"/>
        <v>PAYROLL</v>
      </c>
    </row>
    <row r="100" spans="1:10" x14ac:dyDescent="0.25">
      <c r="A100" s="18">
        <v>45838</v>
      </c>
      <c r="B100" s="13" t="s">
        <v>41</v>
      </c>
      <c r="C100" s="11">
        <v>-43.26</v>
      </c>
      <c r="D100" s="13" t="s">
        <v>8</v>
      </c>
      <c r="E100" s="11" t="s">
        <v>233</v>
      </c>
      <c r="F100" s="13" t="s">
        <v>9</v>
      </c>
      <c r="G100" s="14" t="s">
        <v>121</v>
      </c>
      <c r="H100" s="3">
        <f t="shared" si="6"/>
        <v>45809</v>
      </c>
      <c r="I100" t="str">
        <f t="shared" si="7"/>
        <v>Expense</v>
      </c>
      <c r="J100" t="str">
        <f t="shared" si="8"/>
        <v>SLACK SUBSCRIPTION</v>
      </c>
    </row>
    <row r="101" spans="1:10" x14ac:dyDescent="0.25">
      <c r="A101" s="15">
        <v>45664</v>
      </c>
      <c r="B101" s="16" t="s">
        <v>70</v>
      </c>
      <c r="C101" s="12">
        <v>29.54</v>
      </c>
      <c r="D101" s="16" t="s">
        <v>8</v>
      </c>
      <c r="E101" s="12" t="s">
        <v>229</v>
      </c>
      <c r="F101" s="16" t="s">
        <v>17</v>
      </c>
      <c r="G101" s="17" t="s">
        <v>122</v>
      </c>
      <c r="H101" s="3">
        <f t="shared" si="6"/>
        <v>45658</v>
      </c>
      <c r="I101" t="str">
        <f t="shared" si="7"/>
        <v>Income</v>
      </c>
      <c r="J101" t="str">
        <f t="shared" si="8"/>
        <v>INTEREST INCOME</v>
      </c>
    </row>
    <row r="102" spans="1:10" x14ac:dyDescent="0.25">
      <c r="A102" s="18">
        <v>45664</v>
      </c>
      <c r="B102" s="13" t="s">
        <v>41</v>
      </c>
      <c r="C102" s="11">
        <v>-59.89</v>
      </c>
      <c r="D102" s="13" t="s">
        <v>8</v>
      </c>
      <c r="E102" s="11" t="s">
        <v>233</v>
      </c>
      <c r="F102" s="13" t="s">
        <v>9</v>
      </c>
      <c r="G102" s="14" t="s">
        <v>123</v>
      </c>
      <c r="H102" s="3">
        <f t="shared" si="6"/>
        <v>45658</v>
      </c>
      <c r="I102" t="str">
        <f t="shared" si="7"/>
        <v>Expense</v>
      </c>
      <c r="J102" t="str">
        <f t="shared" si="8"/>
        <v>SLACK SUBSCRIPTION</v>
      </c>
    </row>
    <row r="103" spans="1:10" x14ac:dyDescent="0.25">
      <c r="A103" s="15">
        <v>45723</v>
      </c>
      <c r="B103" s="16" t="s">
        <v>21</v>
      </c>
      <c r="C103" s="12">
        <v>-3339.78</v>
      </c>
      <c r="D103" s="16" t="s">
        <v>8</v>
      </c>
      <c r="E103" s="12" t="s">
        <v>230</v>
      </c>
      <c r="F103" s="16" t="s">
        <v>9</v>
      </c>
      <c r="G103" s="17" t="s">
        <v>124</v>
      </c>
      <c r="H103" s="3">
        <f t="shared" si="6"/>
        <v>45717</v>
      </c>
      <c r="I103" t="str">
        <f t="shared" si="7"/>
        <v>Expense</v>
      </c>
      <c r="J103" t="str">
        <f t="shared" si="8"/>
        <v>PAYROLL</v>
      </c>
    </row>
    <row r="104" spans="1:10" x14ac:dyDescent="0.25">
      <c r="A104" s="18">
        <v>45784</v>
      </c>
      <c r="B104" s="13" t="s">
        <v>19</v>
      </c>
      <c r="C104" s="11">
        <v>5628.63</v>
      </c>
      <c r="D104" s="13" t="s">
        <v>8</v>
      </c>
      <c r="E104" s="11" t="s">
        <v>229</v>
      </c>
      <c r="F104" s="13" t="s">
        <v>17</v>
      </c>
      <c r="G104" s="14" t="s">
        <v>125</v>
      </c>
      <c r="H104" s="3">
        <f t="shared" si="6"/>
        <v>45778</v>
      </c>
      <c r="I104" t="str">
        <f t="shared" si="7"/>
        <v>Income</v>
      </c>
      <c r="J104" t="str">
        <f t="shared" si="8"/>
        <v>STRIPE PAYOUT</v>
      </c>
    </row>
    <row r="105" spans="1:10" x14ac:dyDescent="0.25">
      <c r="A105" s="15">
        <v>45907</v>
      </c>
      <c r="B105" s="16" t="s">
        <v>41</v>
      </c>
      <c r="C105" s="12">
        <v>-108.08</v>
      </c>
      <c r="D105" s="16" t="s">
        <v>8</v>
      </c>
      <c r="E105" s="12" t="s">
        <v>233</v>
      </c>
      <c r="F105" s="16" t="s">
        <v>9</v>
      </c>
      <c r="G105" s="17" t="s">
        <v>126</v>
      </c>
      <c r="H105" s="3">
        <f t="shared" si="6"/>
        <v>45901</v>
      </c>
      <c r="I105" t="str">
        <f t="shared" si="7"/>
        <v>Expense</v>
      </c>
      <c r="J105" t="str">
        <f t="shared" si="8"/>
        <v>SLACK SUBSCRIPTION</v>
      </c>
    </row>
    <row r="106" spans="1:10" x14ac:dyDescent="0.25">
      <c r="A106" s="18">
        <v>45968</v>
      </c>
      <c r="B106" s="13" t="s">
        <v>16</v>
      </c>
      <c r="C106" s="11">
        <v>6153.94</v>
      </c>
      <c r="D106" s="13" t="s">
        <v>8</v>
      </c>
      <c r="E106" s="11" t="s">
        <v>229</v>
      </c>
      <c r="F106" s="13" t="s">
        <v>17</v>
      </c>
      <c r="G106" s="14" t="s">
        <v>127</v>
      </c>
      <c r="H106" s="3">
        <f t="shared" si="6"/>
        <v>45962</v>
      </c>
      <c r="I106" t="str">
        <f t="shared" si="7"/>
        <v>Income</v>
      </c>
      <c r="J106" t="str">
        <f t="shared" si="8"/>
        <v>CLIENT PAYMENT</v>
      </c>
    </row>
    <row r="107" spans="1:10" x14ac:dyDescent="0.25">
      <c r="A107" s="15">
        <v>45968</v>
      </c>
      <c r="B107" s="16" t="s">
        <v>19</v>
      </c>
      <c r="C107" s="12">
        <v>7095.4</v>
      </c>
      <c r="D107" s="16" t="s">
        <v>8</v>
      </c>
      <c r="E107" s="12" t="s">
        <v>229</v>
      </c>
      <c r="F107" s="16" t="s">
        <v>17</v>
      </c>
      <c r="G107" s="17" t="s">
        <v>128</v>
      </c>
      <c r="H107" s="3">
        <f t="shared" si="6"/>
        <v>45962</v>
      </c>
      <c r="I107" t="str">
        <f t="shared" si="7"/>
        <v>Income</v>
      </c>
      <c r="J107" t="str">
        <f t="shared" si="8"/>
        <v>STRIPE PAYOUT</v>
      </c>
    </row>
    <row r="108" spans="1:10" x14ac:dyDescent="0.25">
      <c r="A108" s="18">
        <v>45998</v>
      </c>
      <c r="B108" s="13" t="s">
        <v>47</v>
      </c>
      <c r="C108" s="11">
        <v>-141.53</v>
      </c>
      <c r="D108" s="13" t="s">
        <v>8</v>
      </c>
      <c r="E108" s="11" t="s">
        <v>233</v>
      </c>
      <c r="F108" s="13" t="s">
        <v>9</v>
      </c>
      <c r="G108" s="14" t="s">
        <v>129</v>
      </c>
      <c r="H108" s="3">
        <f t="shared" si="6"/>
        <v>45992</v>
      </c>
      <c r="I108" t="str">
        <f t="shared" si="7"/>
        <v>Expense</v>
      </c>
      <c r="J108" t="str">
        <f t="shared" si="8"/>
        <v>SOFTWARE SUBSCRIPTION</v>
      </c>
    </row>
    <row r="109" spans="1:10" x14ac:dyDescent="0.25">
      <c r="A109" s="15">
        <v>45851</v>
      </c>
      <c r="B109" s="16" t="s">
        <v>21</v>
      </c>
      <c r="C109" s="12">
        <v>-3038.18</v>
      </c>
      <c r="D109" s="16" t="s">
        <v>8</v>
      </c>
      <c r="E109" s="12" t="s">
        <v>230</v>
      </c>
      <c r="F109" s="16" t="s">
        <v>9</v>
      </c>
      <c r="G109" s="17" t="s">
        <v>130</v>
      </c>
      <c r="H109" s="3">
        <f t="shared" si="6"/>
        <v>45839</v>
      </c>
      <c r="I109" t="str">
        <f t="shared" si="7"/>
        <v>Expense</v>
      </c>
      <c r="J109" t="str">
        <f t="shared" si="8"/>
        <v>PAYROLL</v>
      </c>
    </row>
    <row r="110" spans="1:10" x14ac:dyDescent="0.25">
      <c r="A110" s="18">
        <v>45852</v>
      </c>
      <c r="B110" s="13" t="s">
        <v>16</v>
      </c>
      <c r="C110" s="11">
        <v>4684.08</v>
      </c>
      <c r="D110" s="13" t="s">
        <v>8</v>
      </c>
      <c r="E110" s="11" t="s">
        <v>229</v>
      </c>
      <c r="F110" s="13" t="s">
        <v>17</v>
      </c>
      <c r="G110" s="14" t="s">
        <v>131</v>
      </c>
      <c r="H110" s="3">
        <f t="shared" si="6"/>
        <v>45839</v>
      </c>
      <c r="I110" t="str">
        <f t="shared" si="7"/>
        <v>Income</v>
      </c>
      <c r="J110" t="str">
        <f t="shared" si="8"/>
        <v>CLIENT PAYMENT</v>
      </c>
    </row>
    <row r="111" spans="1:10" x14ac:dyDescent="0.25">
      <c r="A111" s="15">
        <v>45857</v>
      </c>
      <c r="B111" s="16" t="s">
        <v>16</v>
      </c>
      <c r="C111" s="12">
        <v>4350.95</v>
      </c>
      <c r="D111" s="16" t="s">
        <v>8</v>
      </c>
      <c r="E111" s="12" t="s">
        <v>229</v>
      </c>
      <c r="F111" s="16" t="s">
        <v>17</v>
      </c>
      <c r="G111" s="17" t="s">
        <v>132</v>
      </c>
      <c r="H111" s="3">
        <f t="shared" si="6"/>
        <v>45839</v>
      </c>
      <c r="I111" t="str">
        <f t="shared" si="7"/>
        <v>Income</v>
      </c>
      <c r="J111" t="str">
        <f t="shared" si="8"/>
        <v>CLIENT PAYMENT</v>
      </c>
    </row>
    <row r="112" spans="1:10" x14ac:dyDescent="0.25">
      <c r="A112" s="18">
        <v>45858</v>
      </c>
      <c r="B112" s="13" t="s">
        <v>34</v>
      </c>
      <c r="C112" s="11">
        <v>-265.33999999999997</v>
      </c>
      <c r="D112" s="13" t="s">
        <v>8</v>
      </c>
      <c r="E112" s="11" t="s">
        <v>232</v>
      </c>
      <c r="F112" s="13" t="s">
        <v>9</v>
      </c>
      <c r="G112" s="14" t="s">
        <v>133</v>
      </c>
      <c r="H112" s="3">
        <f t="shared" si="6"/>
        <v>45839</v>
      </c>
      <c r="I112" t="str">
        <f t="shared" si="7"/>
        <v>Expense</v>
      </c>
      <c r="J112" t="str">
        <f t="shared" si="8"/>
        <v>GOOGLE ADS</v>
      </c>
    </row>
    <row r="113" spans="1:10" x14ac:dyDescent="0.25">
      <c r="A113" s="15">
        <v>45860</v>
      </c>
      <c r="B113" s="16" t="s">
        <v>7</v>
      </c>
      <c r="C113" s="12">
        <v>-2021.49</v>
      </c>
      <c r="D113" s="16" t="s">
        <v>8</v>
      </c>
      <c r="E113" s="12" t="s">
        <v>226</v>
      </c>
      <c r="F113" s="16" t="s">
        <v>9</v>
      </c>
      <c r="G113" s="17" t="s">
        <v>134</v>
      </c>
      <c r="H113" s="3">
        <f t="shared" si="6"/>
        <v>45839</v>
      </c>
      <c r="I113" t="str">
        <f t="shared" si="7"/>
        <v>Expense</v>
      </c>
      <c r="J113" t="str">
        <f t="shared" si="8"/>
        <v>RENT</v>
      </c>
    </row>
    <row r="114" spans="1:10" x14ac:dyDescent="0.25">
      <c r="A114" s="18">
        <v>45861</v>
      </c>
      <c r="B114" s="13" t="s">
        <v>19</v>
      </c>
      <c r="C114" s="11">
        <v>3590.85</v>
      </c>
      <c r="D114" s="13" t="s">
        <v>8</v>
      </c>
      <c r="E114" s="11" t="s">
        <v>229</v>
      </c>
      <c r="F114" s="13" t="s">
        <v>17</v>
      </c>
      <c r="G114" s="14" t="s">
        <v>135</v>
      </c>
      <c r="H114" s="3">
        <f t="shared" si="6"/>
        <v>45839</v>
      </c>
      <c r="I114" t="str">
        <f t="shared" si="7"/>
        <v>Income</v>
      </c>
      <c r="J114" t="str">
        <f t="shared" si="8"/>
        <v>STRIPE PAYOUT</v>
      </c>
    </row>
    <row r="115" spans="1:10" x14ac:dyDescent="0.25">
      <c r="A115" s="15">
        <v>45865</v>
      </c>
      <c r="B115" s="16" t="s">
        <v>28</v>
      </c>
      <c r="C115" s="12">
        <v>-27.07</v>
      </c>
      <c r="D115" s="16" t="s">
        <v>8</v>
      </c>
      <c r="E115" s="12" t="s">
        <v>231</v>
      </c>
      <c r="F115" s="16" t="s">
        <v>9</v>
      </c>
      <c r="G115" s="17" t="s">
        <v>136</v>
      </c>
      <c r="H115" s="3">
        <f t="shared" si="6"/>
        <v>45839</v>
      </c>
      <c r="I115" t="str">
        <f t="shared" si="7"/>
        <v>Expense</v>
      </c>
      <c r="J115" t="str">
        <f t="shared" si="8"/>
        <v>BANK FEE</v>
      </c>
    </row>
    <row r="116" spans="1:10" x14ac:dyDescent="0.25">
      <c r="A116" s="18">
        <v>45867</v>
      </c>
      <c r="B116" s="13" t="s">
        <v>19</v>
      </c>
      <c r="C116" s="11">
        <v>3039.49</v>
      </c>
      <c r="D116" s="13" t="s">
        <v>8</v>
      </c>
      <c r="E116" s="11" t="s">
        <v>229</v>
      </c>
      <c r="F116" s="13" t="s">
        <v>17</v>
      </c>
      <c r="G116" s="14" t="s">
        <v>137</v>
      </c>
      <c r="H116" s="3">
        <f t="shared" si="6"/>
        <v>45839</v>
      </c>
      <c r="I116" t="str">
        <f t="shared" si="7"/>
        <v>Income</v>
      </c>
      <c r="J116" t="str">
        <f t="shared" si="8"/>
        <v>STRIPE PAYOUT</v>
      </c>
    </row>
    <row r="117" spans="1:10" x14ac:dyDescent="0.25">
      <c r="A117" s="15">
        <v>45867</v>
      </c>
      <c r="B117" s="16" t="s">
        <v>14</v>
      </c>
      <c r="C117" s="12">
        <v>-89.7</v>
      </c>
      <c r="D117" s="16" t="s">
        <v>12</v>
      </c>
      <c r="E117" s="12" t="s">
        <v>228</v>
      </c>
      <c r="F117" s="16" t="s">
        <v>9</v>
      </c>
      <c r="G117" s="17" t="s">
        <v>138</v>
      </c>
      <c r="H117" s="3">
        <f t="shared" si="6"/>
        <v>45839</v>
      </c>
      <c r="I117" t="str">
        <f t="shared" si="7"/>
        <v>Expense</v>
      </c>
      <c r="J117" t="str">
        <f t="shared" si="8"/>
        <v>UBER</v>
      </c>
    </row>
    <row r="118" spans="1:10" x14ac:dyDescent="0.25">
      <c r="A118" s="18">
        <v>45755</v>
      </c>
      <c r="B118" s="13" t="s">
        <v>19</v>
      </c>
      <c r="C118" s="11">
        <v>6031.78</v>
      </c>
      <c r="D118" s="13" t="s">
        <v>8</v>
      </c>
      <c r="E118" s="11" t="s">
        <v>229</v>
      </c>
      <c r="F118" s="13" t="s">
        <v>17</v>
      </c>
      <c r="G118" s="14" t="s">
        <v>139</v>
      </c>
      <c r="H118" s="3">
        <f t="shared" si="6"/>
        <v>45748</v>
      </c>
      <c r="I118" t="str">
        <f t="shared" si="7"/>
        <v>Income</v>
      </c>
      <c r="J118" t="str">
        <f t="shared" si="8"/>
        <v>STRIPE PAYOUT</v>
      </c>
    </row>
    <row r="119" spans="1:10" x14ac:dyDescent="0.25">
      <c r="A119" s="15">
        <v>45755</v>
      </c>
      <c r="B119" s="16" t="s">
        <v>7</v>
      </c>
      <c r="C119" s="12">
        <v>-2354.85</v>
      </c>
      <c r="D119" s="16" t="s">
        <v>8</v>
      </c>
      <c r="E119" s="12" t="s">
        <v>226</v>
      </c>
      <c r="F119" s="16" t="s">
        <v>9</v>
      </c>
      <c r="G119" s="17" t="s">
        <v>140</v>
      </c>
      <c r="H119" s="3">
        <f t="shared" si="6"/>
        <v>45748</v>
      </c>
      <c r="I119" t="str">
        <f t="shared" si="7"/>
        <v>Expense</v>
      </c>
      <c r="J119" t="str">
        <f t="shared" si="8"/>
        <v>RENT</v>
      </c>
    </row>
    <row r="120" spans="1:10" x14ac:dyDescent="0.25">
      <c r="A120" s="18">
        <v>45785</v>
      </c>
      <c r="B120" s="13" t="s">
        <v>11</v>
      </c>
      <c r="C120" s="11">
        <v>-307.66000000000003</v>
      </c>
      <c r="D120" s="13" t="s">
        <v>12</v>
      </c>
      <c r="E120" s="11" t="s">
        <v>227</v>
      </c>
      <c r="F120" s="13" t="s">
        <v>9</v>
      </c>
      <c r="G120" s="14" t="s">
        <v>141</v>
      </c>
      <c r="H120" s="3">
        <f t="shared" si="6"/>
        <v>45778</v>
      </c>
      <c r="I120" t="str">
        <f t="shared" si="7"/>
        <v>Expense</v>
      </c>
      <c r="J120" t="str">
        <f t="shared" si="8"/>
        <v>OFFICE DEPOT</v>
      </c>
    </row>
    <row r="121" spans="1:10" x14ac:dyDescent="0.25">
      <c r="A121" s="15">
        <v>45816</v>
      </c>
      <c r="B121" s="16" t="s">
        <v>34</v>
      </c>
      <c r="C121" s="12">
        <v>-495.83</v>
      </c>
      <c r="D121" s="16" t="s">
        <v>8</v>
      </c>
      <c r="E121" s="12" t="s">
        <v>232</v>
      </c>
      <c r="F121" s="16" t="s">
        <v>9</v>
      </c>
      <c r="G121" s="17" t="s">
        <v>142</v>
      </c>
      <c r="H121" s="3">
        <f t="shared" si="6"/>
        <v>45809</v>
      </c>
      <c r="I121" t="str">
        <f t="shared" si="7"/>
        <v>Expense</v>
      </c>
      <c r="J121" t="str">
        <f t="shared" si="8"/>
        <v>GOOGLE ADS</v>
      </c>
    </row>
    <row r="122" spans="1:10" x14ac:dyDescent="0.25">
      <c r="A122" s="18">
        <v>45846</v>
      </c>
      <c r="B122" s="13" t="s">
        <v>16</v>
      </c>
      <c r="C122" s="11">
        <v>4843.7299999999996</v>
      </c>
      <c r="D122" s="13" t="s">
        <v>8</v>
      </c>
      <c r="E122" s="11" t="s">
        <v>229</v>
      </c>
      <c r="F122" s="13" t="s">
        <v>17</v>
      </c>
      <c r="G122" s="14" t="s">
        <v>143</v>
      </c>
      <c r="H122" s="3">
        <f t="shared" si="6"/>
        <v>45839</v>
      </c>
      <c r="I122" t="str">
        <f t="shared" si="7"/>
        <v>Income</v>
      </c>
      <c r="J122" t="str">
        <f t="shared" si="8"/>
        <v>CLIENT PAYMENT</v>
      </c>
    </row>
    <row r="123" spans="1:10" x14ac:dyDescent="0.25">
      <c r="A123" s="15">
        <v>45908</v>
      </c>
      <c r="B123" s="16" t="s">
        <v>19</v>
      </c>
      <c r="C123" s="12">
        <v>6451.57</v>
      </c>
      <c r="D123" s="16" t="s">
        <v>8</v>
      </c>
      <c r="E123" s="12" t="s">
        <v>229</v>
      </c>
      <c r="F123" s="16" t="s">
        <v>17</v>
      </c>
      <c r="G123" s="17" t="s">
        <v>144</v>
      </c>
      <c r="H123" s="3">
        <f t="shared" si="6"/>
        <v>45901</v>
      </c>
      <c r="I123" t="str">
        <f t="shared" si="7"/>
        <v>Income</v>
      </c>
      <c r="J123" t="str">
        <f t="shared" si="8"/>
        <v>STRIPE PAYOUT</v>
      </c>
    </row>
    <row r="124" spans="1:10" x14ac:dyDescent="0.25">
      <c r="A124" s="18">
        <v>45938</v>
      </c>
      <c r="B124" s="13" t="s">
        <v>19</v>
      </c>
      <c r="C124" s="11">
        <v>5247.53</v>
      </c>
      <c r="D124" s="13" t="s">
        <v>8</v>
      </c>
      <c r="E124" s="11" t="s">
        <v>229</v>
      </c>
      <c r="F124" s="13" t="s">
        <v>17</v>
      </c>
      <c r="G124" s="14" t="s">
        <v>145</v>
      </c>
      <c r="H124" s="3">
        <f t="shared" si="6"/>
        <v>45931</v>
      </c>
      <c r="I124" t="str">
        <f t="shared" si="7"/>
        <v>Income</v>
      </c>
      <c r="J124" t="str">
        <f t="shared" si="8"/>
        <v>STRIPE PAYOUT</v>
      </c>
    </row>
    <row r="125" spans="1:10" x14ac:dyDescent="0.25">
      <c r="A125" s="15">
        <v>45886</v>
      </c>
      <c r="B125" s="16" t="s">
        <v>16</v>
      </c>
      <c r="C125" s="12">
        <v>3789.22</v>
      </c>
      <c r="D125" s="16" t="s">
        <v>8</v>
      </c>
      <c r="E125" s="12" t="s">
        <v>229</v>
      </c>
      <c r="F125" s="16" t="s">
        <v>17</v>
      </c>
      <c r="G125" s="17" t="s">
        <v>146</v>
      </c>
      <c r="H125" s="3">
        <f t="shared" si="6"/>
        <v>45870</v>
      </c>
      <c r="I125" t="str">
        <f t="shared" si="7"/>
        <v>Income</v>
      </c>
      <c r="J125" t="str">
        <f t="shared" si="8"/>
        <v>CLIENT PAYMENT</v>
      </c>
    </row>
    <row r="126" spans="1:10" x14ac:dyDescent="0.25">
      <c r="A126" s="18">
        <v>45887</v>
      </c>
      <c r="B126" s="13" t="s">
        <v>65</v>
      </c>
      <c r="C126" s="11">
        <v>-253.15</v>
      </c>
      <c r="D126" s="13" t="s">
        <v>8</v>
      </c>
      <c r="E126" s="11" t="s">
        <v>233</v>
      </c>
      <c r="F126" s="13" t="s">
        <v>9</v>
      </c>
      <c r="G126" s="14" t="s">
        <v>147</v>
      </c>
      <c r="H126" s="3">
        <f t="shared" si="6"/>
        <v>45870</v>
      </c>
      <c r="I126" t="str">
        <f t="shared" si="7"/>
        <v>Expense</v>
      </c>
      <c r="J126" t="str">
        <f t="shared" si="8"/>
        <v>AMAZON WEB SERVICES</v>
      </c>
    </row>
    <row r="127" spans="1:10" x14ac:dyDescent="0.25">
      <c r="A127" s="15">
        <v>45888</v>
      </c>
      <c r="B127" s="16" t="s">
        <v>14</v>
      </c>
      <c r="C127" s="12">
        <v>-52.46</v>
      </c>
      <c r="D127" s="16" t="s">
        <v>12</v>
      </c>
      <c r="E127" s="12" t="s">
        <v>228</v>
      </c>
      <c r="F127" s="16" t="s">
        <v>9</v>
      </c>
      <c r="G127" s="17" t="s">
        <v>148</v>
      </c>
      <c r="H127" s="3">
        <f t="shared" si="6"/>
        <v>45870</v>
      </c>
      <c r="I127" t="str">
        <f t="shared" si="7"/>
        <v>Expense</v>
      </c>
      <c r="J127" t="str">
        <f t="shared" si="8"/>
        <v>UBER</v>
      </c>
    </row>
    <row r="128" spans="1:10" x14ac:dyDescent="0.25">
      <c r="A128" s="18">
        <v>45892</v>
      </c>
      <c r="B128" s="13" t="s">
        <v>41</v>
      </c>
      <c r="C128" s="11">
        <v>-81.510000000000005</v>
      </c>
      <c r="D128" s="13" t="s">
        <v>8</v>
      </c>
      <c r="E128" s="11" t="s">
        <v>233</v>
      </c>
      <c r="F128" s="13" t="s">
        <v>9</v>
      </c>
      <c r="G128" s="14" t="s">
        <v>149</v>
      </c>
      <c r="H128" s="3">
        <f t="shared" si="6"/>
        <v>45870</v>
      </c>
      <c r="I128" t="str">
        <f t="shared" si="7"/>
        <v>Expense</v>
      </c>
      <c r="J128" t="str">
        <f t="shared" si="8"/>
        <v>SLACK SUBSCRIPTION</v>
      </c>
    </row>
    <row r="129" spans="1:10" x14ac:dyDescent="0.25">
      <c r="A129" s="15">
        <v>45894</v>
      </c>
      <c r="B129" s="16" t="s">
        <v>19</v>
      </c>
      <c r="C129" s="12">
        <v>2545.67</v>
      </c>
      <c r="D129" s="16" t="s">
        <v>8</v>
      </c>
      <c r="E129" s="12" t="s">
        <v>229</v>
      </c>
      <c r="F129" s="16" t="s">
        <v>17</v>
      </c>
      <c r="G129" s="17" t="s">
        <v>150</v>
      </c>
      <c r="H129" s="3">
        <f t="shared" si="6"/>
        <v>45870</v>
      </c>
      <c r="I129" t="str">
        <f t="shared" si="7"/>
        <v>Income</v>
      </c>
      <c r="J129" t="str">
        <f t="shared" si="8"/>
        <v>STRIPE PAYOUT</v>
      </c>
    </row>
    <row r="130" spans="1:10" x14ac:dyDescent="0.25">
      <c r="A130" s="18">
        <v>45896</v>
      </c>
      <c r="B130" s="13" t="s">
        <v>16</v>
      </c>
      <c r="C130" s="11">
        <v>2666.41</v>
      </c>
      <c r="D130" s="13" t="s">
        <v>8</v>
      </c>
      <c r="E130" s="11" t="s">
        <v>229</v>
      </c>
      <c r="F130" s="13" t="s">
        <v>17</v>
      </c>
      <c r="G130" s="14" t="s">
        <v>151</v>
      </c>
      <c r="H130" s="3">
        <f t="shared" si="6"/>
        <v>45870</v>
      </c>
      <c r="I130" t="str">
        <f t="shared" si="7"/>
        <v>Income</v>
      </c>
      <c r="J130" t="str">
        <f t="shared" si="8"/>
        <v>CLIENT PAYMENT</v>
      </c>
    </row>
    <row r="131" spans="1:10" x14ac:dyDescent="0.25">
      <c r="A131" s="15">
        <v>45897</v>
      </c>
      <c r="B131" s="16" t="s">
        <v>70</v>
      </c>
      <c r="C131" s="12">
        <v>10.39</v>
      </c>
      <c r="D131" s="16" t="s">
        <v>8</v>
      </c>
      <c r="E131" s="12" t="s">
        <v>229</v>
      </c>
      <c r="F131" s="16" t="s">
        <v>17</v>
      </c>
      <c r="G131" s="17" t="s">
        <v>152</v>
      </c>
      <c r="H131" s="3">
        <f t="shared" ref="H131:H194" si="9">DATE(YEAR(A131),MONTH(A131),1)</f>
        <v>45870</v>
      </c>
      <c r="I131" t="str">
        <f t="shared" ref="I131:I194" si="10">IF(C131&lt;0,"Expense","Income")</f>
        <v>Income</v>
      </c>
      <c r="J131" t="str">
        <f t="shared" ref="J131:J194" si="11">UPPER(TRIM(B131))</f>
        <v>INTEREST INCOME</v>
      </c>
    </row>
    <row r="132" spans="1:10" x14ac:dyDescent="0.25">
      <c r="A132" s="18">
        <v>45898</v>
      </c>
      <c r="B132" s="13" t="s">
        <v>14</v>
      </c>
      <c r="C132" s="11">
        <v>-23.15</v>
      </c>
      <c r="D132" s="13" t="s">
        <v>12</v>
      </c>
      <c r="E132" s="11" t="s">
        <v>228</v>
      </c>
      <c r="F132" s="13" t="s">
        <v>9</v>
      </c>
      <c r="G132" s="14" t="s">
        <v>153</v>
      </c>
      <c r="H132" s="3">
        <f t="shared" si="9"/>
        <v>45870</v>
      </c>
      <c r="I132" t="str">
        <f t="shared" si="10"/>
        <v>Expense</v>
      </c>
      <c r="J132" t="str">
        <f t="shared" si="11"/>
        <v>UBER</v>
      </c>
    </row>
    <row r="133" spans="1:10" x14ac:dyDescent="0.25">
      <c r="A133" s="15">
        <v>45899</v>
      </c>
      <c r="B133" s="16" t="s">
        <v>7</v>
      </c>
      <c r="C133" s="12">
        <v>-2033.62</v>
      </c>
      <c r="D133" s="16" t="s">
        <v>8</v>
      </c>
      <c r="E133" s="12" t="s">
        <v>226</v>
      </c>
      <c r="F133" s="16" t="s">
        <v>9</v>
      </c>
      <c r="G133" s="17" t="s">
        <v>154</v>
      </c>
      <c r="H133" s="3">
        <f t="shared" si="9"/>
        <v>45870</v>
      </c>
      <c r="I133" t="str">
        <f t="shared" si="10"/>
        <v>Expense</v>
      </c>
      <c r="J133" t="str">
        <f t="shared" si="11"/>
        <v>RENT</v>
      </c>
    </row>
    <row r="134" spans="1:10" x14ac:dyDescent="0.25">
      <c r="A134" s="18">
        <v>45900</v>
      </c>
      <c r="B134" s="13" t="s">
        <v>21</v>
      </c>
      <c r="C134" s="11">
        <v>-3236.61</v>
      </c>
      <c r="D134" s="13" t="s">
        <v>8</v>
      </c>
      <c r="E134" s="11" t="s">
        <v>230</v>
      </c>
      <c r="F134" s="13" t="s">
        <v>9</v>
      </c>
      <c r="G134" s="14" t="s">
        <v>155</v>
      </c>
      <c r="H134" s="3">
        <f t="shared" si="9"/>
        <v>45870</v>
      </c>
      <c r="I134" t="str">
        <f t="shared" si="10"/>
        <v>Expense</v>
      </c>
      <c r="J134" t="str">
        <f t="shared" si="11"/>
        <v>PAYROLL</v>
      </c>
    </row>
    <row r="135" spans="1:10" x14ac:dyDescent="0.25">
      <c r="A135" s="15">
        <v>45697</v>
      </c>
      <c r="B135" s="16" t="s">
        <v>7</v>
      </c>
      <c r="C135" s="12">
        <v>-1908.34</v>
      </c>
      <c r="D135" s="16" t="s">
        <v>8</v>
      </c>
      <c r="E135" s="12" t="s">
        <v>226</v>
      </c>
      <c r="F135" s="16" t="s">
        <v>9</v>
      </c>
      <c r="G135" s="17" t="s">
        <v>156</v>
      </c>
      <c r="H135" s="3">
        <f t="shared" si="9"/>
        <v>45689</v>
      </c>
      <c r="I135" t="str">
        <f t="shared" si="10"/>
        <v>Expense</v>
      </c>
      <c r="J135" t="str">
        <f t="shared" si="11"/>
        <v>RENT</v>
      </c>
    </row>
    <row r="136" spans="1:10" x14ac:dyDescent="0.25">
      <c r="A136" s="18">
        <v>45817</v>
      </c>
      <c r="B136" s="13" t="s">
        <v>19</v>
      </c>
      <c r="C136" s="11">
        <v>5998.42</v>
      </c>
      <c r="D136" s="13" t="s">
        <v>8</v>
      </c>
      <c r="E136" s="11" t="s">
        <v>229</v>
      </c>
      <c r="F136" s="13" t="s">
        <v>17</v>
      </c>
      <c r="G136" s="14" t="s">
        <v>157</v>
      </c>
      <c r="H136" s="3">
        <f t="shared" si="9"/>
        <v>45809</v>
      </c>
      <c r="I136" t="str">
        <f t="shared" si="10"/>
        <v>Income</v>
      </c>
      <c r="J136" t="str">
        <f t="shared" si="11"/>
        <v>STRIPE PAYOUT</v>
      </c>
    </row>
    <row r="137" spans="1:10" x14ac:dyDescent="0.25">
      <c r="A137" s="15">
        <v>45847</v>
      </c>
      <c r="B137" s="16" t="s">
        <v>21</v>
      </c>
      <c r="C137" s="12">
        <v>-3001.08</v>
      </c>
      <c r="D137" s="16" t="s">
        <v>8</v>
      </c>
      <c r="E137" s="12" t="s">
        <v>230</v>
      </c>
      <c r="F137" s="16" t="s">
        <v>9</v>
      </c>
      <c r="G137" s="17" t="s">
        <v>158</v>
      </c>
      <c r="H137" s="3">
        <f t="shared" si="9"/>
        <v>45839</v>
      </c>
      <c r="I137" t="str">
        <f t="shared" si="10"/>
        <v>Expense</v>
      </c>
      <c r="J137" t="str">
        <f t="shared" si="11"/>
        <v>PAYROLL</v>
      </c>
    </row>
    <row r="138" spans="1:10" x14ac:dyDescent="0.25">
      <c r="A138" s="18">
        <v>45878</v>
      </c>
      <c r="B138" s="13" t="s">
        <v>70</v>
      </c>
      <c r="C138" s="11">
        <v>48.64</v>
      </c>
      <c r="D138" s="13" t="s">
        <v>8</v>
      </c>
      <c r="E138" s="11" t="s">
        <v>229</v>
      </c>
      <c r="F138" s="13" t="s">
        <v>17</v>
      </c>
      <c r="G138" s="14" t="s">
        <v>159</v>
      </c>
      <c r="H138" s="3">
        <f t="shared" si="9"/>
        <v>45870</v>
      </c>
      <c r="I138" t="str">
        <f t="shared" si="10"/>
        <v>Income</v>
      </c>
      <c r="J138" t="str">
        <f t="shared" si="11"/>
        <v>INTEREST INCOME</v>
      </c>
    </row>
    <row r="139" spans="1:10" x14ac:dyDescent="0.25">
      <c r="A139" s="15">
        <v>45878</v>
      </c>
      <c r="B139" s="16" t="s">
        <v>28</v>
      </c>
      <c r="C139" s="12">
        <v>-38.409999999999997</v>
      </c>
      <c r="D139" s="16" t="s">
        <v>8</v>
      </c>
      <c r="E139" s="12" t="s">
        <v>231</v>
      </c>
      <c r="F139" s="16" t="s">
        <v>9</v>
      </c>
      <c r="G139" s="17" t="s">
        <v>160</v>
      </c>
      <c r="H139" s="3">
        <f t="shared" si="9"/>
        <v>45870</v>
      </c>
      <c r="I139" t="str">
        <f t="shared" si="10"/>
        <v>Expense</v>
      </c>
      <c r="J139" t="str">
        <f t="shared" si="11"/>
        <v>BANK FEE</v>
      </c>
    </row>
    <row r="140" spans="1:10" x14ac:dyDescent="0.25">
      <c r="A140" s="18">
        <v>45878</v>
      </c>
      <c r="B140" s="13" t="s">
        <v>47</v>
      </c>
      <c r="C140" s="11">
        <v>-176.81</v>
      </c>
      <c r="D140" s="13" t="s">
        <v>8</v>
      </c>
      <c r="E140" s="11" t="s">
        <v>233</v>
      </c>
      <c r="F140" s="13" t="s">
        <v>9</v>
      </c>
      <c r="G140" s="14" t="s">
        <v>161</v>
      </c>
      <c r="H140" s="3">
        <f t="shared" si="9"/>
        <v>45870</v>
      </c>
      <c r="I140" t="str">
        <f t="shared" si="10"/>
        <v>Expense</v>
      </c>
      <c r="J140" t="str">
        <f t="shared" si="11"/>
        <v>SOFTWARE SUBSCRIPTION</v>
      </c>
    </row>
    <row r="141" spans="1:10" x14ac:dyDescent="0.25">
      <c r="A141" s="15">
        <v>45909</v>
      </c>
      <c r="B141" s="16" t="s">
        <v>47</v>
      </c>
      <c r="C141" s="12">
        <v>-158.51</v>
      </c>
      <c r="D141" s="16" t="s">
        <v>8</v>
      </c>
      <c r="E141" s="12" t="s">
        <v>233</v>
      </c>
      <c r="F141" s="16" t="s">
        <v>9</v>
      </c>
      <c r="G141" s="17" t="s">
        <v>162</v>
      </c>
      <c r="H141" s="3">
        <f t="shared" si="9"/>
        <v>45901</v>
      </c>
      <c r="I141" t="str">
        <f t="shared" si="10"/>
        <v>Expense</v>
      </c>
      <c r="J141" t="str">
        <f t="shared" si="11"/>
        <v>SOFTWARE SUBSCRIPTION</v>
      </c>
    </row>
    <row r="142" spans="1:10" x14ac:dyDescent="0.25">
      <c r="A142" s="18">
        <v>46000</v>
      </c>
      <c r="B142" s="13" t="s">
        <v>28</v>
      </c>
      <c r="C142" s="11">
        <v>-34.93</v>
      </c>
      <c r="D142" s="13" t="s">
        <v>8</v>
      </c>
      <c r="E142" s="11" t="s">
        <v>231</v>
      </c>
      <c r="F142" s="13" t="s">
        <v>9</v>
      </c>
      <c r="G142" s="14" t="s">
        <v>163</v>
      </c>
      <c r="H142" s="3">
        <f t="shared" si="9"/>
        <v>45992</v>
      </c>
      <c r="I142" t="str">
        <f t="shared" si="10"/>
        <v>Expense</v>
      </c>
      <c r="J142" t="str">
        <f t="shared" si="11"/>
        <v>BANK FEE</v>
      </c>
    </row>
    <row r="143" spans="1:10" x14ac:dyDescent="0.25">
      <c r="A143" s="15">
        <v>45913</v>
      </c>
      <c r="B143" s="16" t="s">
        <v>21</v>
      </c>
      <c r="C143" s="12">
        <v>-2804.53</v>
      </c>
      <c r="D143" s="16" t="s">
        <v>8</v>
      </c>
      <c r="E143" s="12" t="s">
        <v>230</v>
      </c>
      <c r="F143" s="16" t="s">
        <v>9</v>
      </c>
      <c r="G143" s="17" t="s">
        <v>164</v>
      </c>
      <c r="H143" s="3">
        <f t="shared" si="9"/>
        <v>45901</v>
      </c>
      <c r="I143" t="str">
        <f t="shared" si="10"/>
        <v>Expense</v>
      </c>
      <c r="J143" t="str">
        <f t="shared" si="11"/>
        <v>PAYROLL</v>
      </c>
    </row>
    <row r="144" spans="1:10" x14ac:dyDescent="0.25">
      <c r="A144" s="18">
        <v>45913</v>
      </c>
      <c r="B144" s="13" t="s">
        <v>47</v>
      </c>
      <c r="C144" s="11">
        <v>-135.68</v>
      </c>
      <c r="D144" s="13" t="s">
        <v>8</v>
      </c>
      <c r="E144" s="11" t="s">
        <v>233</v>
      </c>
      <c r="F144" s="13" t="s">
        <v>9</v>
      </c>
      <c r="G144" s="14" t="s">
        <v>165</v>
      </c>
      <c r="H144" s="3">
        <f t="shared" si="9"/>
        <v>45901</v>
      </c>
      <c r="I144" t="str">
        <f t="shared" si="10"/>
        <v>Expense</v>
      </c>
      <c r="J144" t="str">
        <f t="shared" si="11"/>
        <v>SOFTWARE SUBSCRIPTION</v>
      </c>
    </row>
    <row r="145" spans="1:10" x14ac:dyDescent="0.25">
      <c r="A145" s="15">
        <v>45920</v>
      </c>
      <c r="B145" s="16" t="s">
        <v>16</v>
      </c>
      <c r="C145" s="12">
        <v>5172.2299999999996</v>
      </c>
      <c r="D145" s="16" t="s">
        <v>8</v>
      </c>
      <c r="E145" s="12" t="s">
        <v>229</v>
      </c>
      <c r="F145" s="16" t="s">
        <v>17</v>
      </c>
      <c r="G145" s="17" t="s">
        <v>166</v>
      </c>
      <c r="H145" s="3">
        <f t="shared" si="9"/>
        <v>45901</v>
      </c>
      <c r="I145" t="str">
        <f t="shared" si="10"/>
        <v>Income</v>
      </c>
      <c r="J145" t="str">
        <f t="shared" si="11"/>
        <v>CLIENT PAYMENT</v>
      </c>
    </row>
    <row r="146" spans="1:10" x14ac:dyDescent="0.25">
      <c r="A146" s="18">
        <v>45922</v>
      </c>
      <c r="B146" s="13" t="s">
        <v>19</v>
      </c>
      <c r="C146" s="11">
        <v>5569.3</v>
      </c>
      <c r="D146" s="13" t="s">
        <v>8</v>
      </c>
      <c r="E146" s="11" t="s">
        <v>229</v>
      </c>
      <c r="F146" s="13" t="s">
        <v>17</v>
      </c>
      <c r="G146" s="14" t="s">
        <v>167</v>
      </c>
      <c r="H146" s="3">
        <f t="shared" si="9"/>
        <v>45901</v>
      </c>
      <c r="I146" t="str">
        <f t="shared" si="10"/>
        <v>Income</v>
      </c>
      <c r="J146" t="str">
        <f t="shared" si="11"/>
        <v>STRIPE PAYOUT</v>
      </c>
    </row>
    <row r="147" spans="1:10" x14ac:dyDescent="0.25">
      <c r="A147" s="15">
        <v>45925</v>
      </c>
      <c r="B147" s="16" t="s">
        <v>19</v>
      </c>
      <c r="C147" s="12">
        <v>4991.34</v>
      </c>
      <c r="D147" s="16" t="s">
        <v>8</v>
      </c>
      <c r="E147" s="12" t="s">
        <v>229</v>
      </c>
      <c r="F147" s="16" t="s">
        <v>17</v>
      </c>
      <c r="G147" s="17" t="s">
        <v>168</v>
      </c>
      <c r="H147" s="3">
        <f t="shared" si="9"/>
        <v>45901</v>
      </c>
      <c r="I147" t="str">
        <f t="shared" si="10"/>
        <v>Income</v>
      </c>
      <c r="J147" t="str">
        <f t="shared" si="11"/>
        <v>STRIPE PAYOUT</v>
      </c>
    </row>
    <row r="148" spans="1:10" x14ac:dyDescent="0.25">
      <c r="A148" s="18">
        <v>45925</v>
      </c>
      <c r="B148" s="13" t="s">
        <v>21</v>
      </c>
      <c r="C148" s="11">
        <v>-3753.4</v>
      </c>
      <c r="D148" s="13" t="s">
        <v>8</v>
      </c>
      <c r="E148" s="11" t="s">
        <v>230</v>
      </c>
      <c r="F148" s="13" t="s">
        <v>9</v>
      </c>
      <c r="G148" s="14" t="s">
        <v>169</v>
      </c>
      <c r="H148" s="3">
        <f t="shared" si="9"/>
        <v>45901</v>
      </c>
      <c r="I148" t="str">
        <f t="shared" si="10"/>
        <v>Expense</v>
      </c>
      <c r="J148" t="str">
        <f t="shared" si="11"/>
        <v>PAYROLL</v>
      </c>
    </row>
    <row r="149" spans="1:10" x14ac:dyDescent="0.25">
      <c r="A149" s="15">
        <v>45926</v>
      </c>
      <c r="B149" s="16" t="s">
        <v>70</v>
      </c>
      <c r="C149" s="12">
        <v>16.32</v>
      </c>
      <c r="D149" s="16" t="s">
        <v>8</v>
      </c>
      <c r="E149" s="12" t="s">
        <v>229</v>
      </c>
      <c r="F149" s="16" t="s">
        <v>17</v>
      </c>
      <c r="G149" s="17" t="s">
        <v>170</v>
      </c>
      <c r="H149" s="3">
        <f t="shared" si="9"/>
        <v>45901</v>
      </c>
      <c r="I149" t="str">
        <f t="shared" si="10"/>
        <v>Income</v>
      </c>
      <c r="J149" t="str">
        <f t="shared" si="11"/>
        <v>INTEREST INCOME</v>
      </c>
    </row>
    <row r="150" spans="1:10" x14ac:dyDescent="0.25">
      <c r="A150" s="18">
        <v>45930</v>
      </c>
      <c r="B150" s="13" t="s">
        <v>19</v>
      </c>
      <c r="C150" s="11">
        <v>4146.7700000000004</v>
      </c>
      <c r="D150" s="13" t="s">
        <v>8</v>
      </c>
      <c r="E150" s="11" t="s">
        <v>229</v>
      </c>
      <c r="F150" s="13" t="s">
        <v>17</v>
      </c>
      <c r="G150" s="14" t="s">
        <v>171</v>
      </c>
      <c r="H150" s="3">
        <f t="shared" si="9"/>
        <v>45901</v>
      </c>
      <c r="I150" t="str">
        <f t="shared" si="10"/>
        <v>Income</v>
      </c>
      <c r="J150" t="str">
        <f t="shared" si="11"/>
        <v>STRIPE PAYOUT</v>
      </c>
    </row>
    <row r="151" spans="1:10" x14ac:dyDescent="0.25">
      <c r="A151" s="15">
        <v>45757</v>
      </c>
      <c r="B151" s="16" t="s">
        <v>70</v>
      </c>
      <c r="C151" s="12">
        <v>26.1</v>
      </c>
      <c r="D151" s="16" t="s">
        <v>8</v>
      </c>
      <c r="E151" s="12" t="s">
        <v>229</v>
      </c>
      <c r="F151" s="16" t="s">
        <v>17</v>
      </c>
      <c r="G151" s="17" t="s">
        <v>172</v>
      </c>
      <c r="H151" s="3">
        <f t="shared" si="9"/>
        <v>45748</v>
      </c>
      <c r="I151" t="str">
        <f t="shared" si="10"/>
        <v>Income</v>
      </c>
      <c r="J151" t="str">
        <f t="shared" si="11"/>
        <v>INTEREST INCOME</v>
      </c>
    </row>
    <row r="152" spans="1:10" x14ac:dyDescent="0.25">
      <c r="A152" s="18">
        <v>45787</v>
      </c>
      <c r="B152" s="13" t="s">
        <v>41</v>
      </c>
      <c r="C152" s="11">
        <v>-102.73</v>
      </c>
      <c r="D152" s="13" t="s">
        <v>8</v>
      </c>
      <c r="E152" s="11" t="s">
        <v>233</v>
      </c>
      <c r="F152" s="13" t="s">
        <v>9</v>
      </c>
      <c r="G152" s="14" t="s">
        <v>173</v>
      </c>
      <c r="H152" s="3">
        <f t="shared" si="9"/>
        <v>45778</v>
      </c>
      <c r="I152" t="str">
        <f t="shared" si="10"/>
        <v>Expense</v>
      </c>
      <c r="J152" t="str">
        <f t="shared" si="11"/>
        <v>SLACK SUBSCRIPTION</v>
      </c>
    </row>
    <row r="153" spans="1:10" x14ac:dyDescent="0.25">
      <c r="A153" s="15">
        <v>45910</v>
      </c>
      <c r="B153" s="16" t="s">
        <v>16</v>
      </c>
      <c r="C153" s="12">
        <v>1435.25</v>
      </c>
      <c r="D153" s="16" t="s">
        <v>8</v>
      </c>
      <c r="E153" s="12" t="s">
        <v>229</v>
      </c>
      <c r="F153" s="16" t="s">
        <v>17</v>
      </c>
      <c r="G153" s="17" t="s">
        <v>174</v>
      </c>
      <c r="H153" s="3">
        <f t="shared" si="9"/>
        <v>45901</v>
      </c>
      <c r="I153" t="str">
        <f t="shared" si="10"/>
        <v>Income</v>
      </c>
      <c r="J153" t="str">
        <f t="shared" si="11"/>
        <v>CLIENT PAYMENT</v>
      </c>
    </row>
    <row r="154" spans="1:10" x14ac:dyDescent="0.25">
      <c r="A154" s="18">
        <v>45940</v>
      </c>
      <c r="B154" s="13" t="s">
        <v>41</v>
      </c>
      <c r="C154" s="11">
        <v>-59.98</v>
      </c>
      <c r="D154" s="13" t="s">
        <v>8</v>
      </c>
      <c r="E154" s="11" t="s">
        <v>233</v>
      </c>
      <c r="F154" s="13" t="s">
        <v>9</v>
      </c>
      <c r="G154" s="14" t="s">
        <v>175</v>
      </c>
      <c r="H154" s="3">
        <f t="shared" si="9"/>
        <v>45931</v>
      </c>
      <c r="I154" t="str">
        <f t="shared" si="10"/>
        <v>Expense</v>
      </c>
      <c r="J154" t="str">
        <f t="shared" si="11"/>
        <v>SLACK SUBSCRIPTION</v>
      </c>
    </row>
    <row r="155" spans="1:10" x14ac:dyDescent="0.25">
      <c r="A155" s="15">
        <v>45971</v>
      </c>
      <c r="B155" s="16" t="s">
        <v>16</v>
      </c>
      <c r="C155" s="12">
        <v>3512.89</v>
      </c>
      <c r="D155" s="16" t="s">
        <v>8</v>
      </c>
      <c r="E155" s="12" t="s">
        <v>229</v>
      </c>
      <c r="F155" s="16" t="s">
        <v>17</v>
      </c>
      <c r="G155" s="17" t="s">
        <v>176</v>
      </c>
      <c r="H155" s="3">
        <f t="shared" si="9"/>
        <v>45962</v>
      </c>
      <c r="I155" t="str">
        <f t="shared" si="10"/>
        <v>Income</v>
      </c>
      <c r="J155" t="str">
        <f t="shared" si="11"/>
        <v>CLIENT PAYMENT</v>
      </c>
    </row>
    <row r="156" spans="1:10" x14ac:dyDescent="0.25">
      <c r="A156" s="18">
        <v>46001</v>
      </c>
      <c r="B156" s="13" t="s">
        <v>47</v>
      </c>
      <c r="C156" s="11">
        <v>-121.77</v>
      </c>
      <c r="D156" s="13" t="s">
        <v>8</v>
      </c>
      <c r="E156" s="11" t="s">
        <v>233</v>
      </c>
      <c r="F156" s="13" t="s">
        <v>9</v>
      </c>
      <c r="G156" s="14" t="s">
        <v>177</v>
      </c>
      <c r="H156" s="3">
        <f t="shared" si="9"/>
        <v>45992</v>
      </c>
      <c r="I156" t="str">
        <f t="shared" si="10"/>
        <v>Expense</v>
      </c>
      <c r="J156" t="str">
        <f t="shared" si="11"/>
        <v>SOFTWARE SUBSCRIPTION</v>
      </c>
    </row>
    <row r="157" spans="1:10" x14ac:dyDescent="0.25">
      <c r="A157" s="15">
        <v>45943</v>
      </c>
      <c r="B157" s="16" t="s">
        <v>7</v>
      </c>
      <c r="C157" s="12">
        <v>-2007.56</v>
      </c>
      <c r="D157" s="16" t="s">
        <v>8</v>
      </c>
      <c r="E157" s="12" t="s">
        <v>226</v>
      </c>
      <c r="F157" s="16" t="s">
        <v>9</v>
      </c>
      <c r="G157" s="17" t="s">
        <v>178</v>
      </c>
      <c r="H157" s="3">
        <f t="shared" si="9"/>
        <v>45931</v>
      </c>
      <c r="I157" t="str">
        <f t="shared" si="10"/>
        <v>Expense</v>
      </c>
      <c r="J157" t="str">
        <f t="shared" si="11"/>
        <v>RENT</v>
      </c>
    </row>
    <row r="158" spans="1:10" x14ac:dyDescent="0.25">
      <c r="A158" s="18">
        <v>45943</v>
      </c>
      <c r="B158" s="13" t="s">
        <v>14</v>
      </c>
      <c r="C158" s="11">
        <v>-41.31</v>
      </c>
      <c r="D158" s="13" t="s">
        <v>12</v>
      </c>
      <c r="E158" s="11" t="s">
        <v>228</v>
      </c>
      <c r="F158" s="13" t="s">
        <v>9</v>
      </c>
      <c r="G158" s="14" t="s">
        <v>179</v>
      </c>
      <c r="H158" s="3">
        <f t="shared" si="9"/>
        <v>45931</v>
      </c>
      <c r="I158" t="str">
        <f t="shared" si="10"/>
        <v>Expense</v>
      </c>
      <c r="J158" t="str">
        <f t="shared" si="11"/>
        <v>UBER</v>
      </c>
    </row>
    <row r="159" spans="1:10" x14ac:dyDescent="0.25">
      <c r="A159" s="15">
        <v>45947</v>
      </c>
      <c r="B159" s="16" t="s">
        <v>19</v>
      </c>
      <c r="C159" s="12">
        <v>7075.78</v>
      </c>
      <c r="D159" s="16" t="s">
        <v>8</v>
      </c>
      <c r="E159" s="12" t="s">
        <v>229</v>
      </c>
      <c r="F159" s="16" t="s">
        <v>17</v>
      </c>
      <c r="G159" s="17" t="s">
        <v>180</v>
      </c>
      <c r="H159" s="3">
        <f t="shared" si="9"/>
        <v>45931</v>
      </c>
      <c r="I159" t="str">
        <f t="shared" si="10"/>
        <v>Income</v>
      </c>
      <c r="J159" t="str">
        <f t="shared" si="11"/>
        <v>STRIPE PAYOUT</v>
      </c>
    </row>
    <row r="160" spans="1:10" x14ac:dyDescent="0.25">
      <c r="A160" s="18">
        <v>45950</v>
      </c>
      <c r="B160" s="13" t="s">
        <v>19</v>
      </c>
      <c r="C160" s="11">
        <v>4277.01</v>
      </c>
      <c r="D160" s="13" t="s">
        <v>8</v>
      </c>
      <c r="E160" s="11" t="s">
        <v>229</v>
      </c>
      <c r="F160" s="13" t="s">
        <v>17</v>
      </c>
      <c r="G160" s="14" t="s">
        <v>181</v>
      </c>
      <c r="H160" s="3">
        <f t="shared" si="9"/>
        <v>45931</v>
      </c>
      <c r="I160" t="str">
        <f t="shared" si="10"/>
        <v>Income</v>
      </c>
      <c r="J160" t="str">
        <f t="shared" si="11"/>
        <v>STRIPE PAYOUT</v>
      </c>
    </row>
    <row r="161" spans="1:10" x14ac:dyDescent="0.25">
      <c r="A161" s="15">
        <v>45950</v>
      </c>
      <c r="B161" s="16" t="s">
        <v>14</v>
      </c>
      <c r="C161" s="12">
        <v>-70.83</v>
      </c>
      <c r="D161" s="16" t="s">
        <v>12</v>
      </c>
      <c r="E161" s="12" t="s">
        <v>228</v>
      </c>
      <c r="F161" s="16" t="s">
        <v>9</v>
      </c>
      <c r="G161" s="17" t="s">
        <v>182</v>
      </c>
      <c r="H161" s="3">
        <f t="shared" si="9"/>
        <v>45931</v>
      </c>
      <c r="I161" t="str">
        <f t="shared" si="10"/>
        <v>Expense</v>
      </c>
      <c r="J161" t="str">
        <f t="shared" si="11"/>
        <v>UBER</v>
      </c>
    </row>
    <row r="162" spans="1:10" x14ac:dyDescent="0.25">
      <c r="A162" s="18">
        <v>45952</v>
      </c>
      <c r="B162" s="13" t="s">
        <v>41</v>
      </c>
      <c r="C162" s="11">
        <v>-55.25</v>
      </c>
      <c r="D162" s="13" t="s">
        <v>8</v>
      </c>
      <c r="E162" s="11" t="s">
        <v>233</v>
      </c>
      <c r="F162" s="13" t="s">
        <v>9</v>
      </c>
      <c r="G162" s="14" t="s">
        <v>183</v>
      </c>
      <c r="H162" s="3">
        <f t="shared" si="9"/>
        <v>45931</v>
      </c>
      <c r="I162" t="str">
        <f t="shared" si="10"/>
        <v>Expense</v>
      </c>
      <c r="J162" t="str">
        <f t="shared" si="11"/>
        <v>SLACK SUBSCRIPTION</v>
      </c>
    </row>
    <row r="163" spans="1:10" x14ac:dyDescent="0.25">
      <c r="A163" s="15">
        <v>45954</v>
      </c>
      <c r="B163" s="16" t="s">
        <v>21</v>
      </c>
      <c r="C163" s="12">
        <v>-2759.93</v>
      </c>
      <c r="D163" s="16" t="s">
        <v>8</v>
      </c>
      <c r="E163" s="12" t="s">
        <v>230</v>
      </c>
      <c r="F163" s="16" t="s">
        <v>9</v>
      </c>
      <c r="G163" s="17" t="s">
        <v>184</v>
      </c>
      <c r="H163" s="3">
        <f t="shared" si="9"/>
        <v>45931</v>
      </c>
      <c r="I163" t="str">
        <f t="shared" si="10"/>
        <v>Expense</v>
      </c>
      <c r="J163" t="str">
        <f t="shared" si="11"/>
        <v>PAYROLL</v>
      </c>
    </row>
    <row r="164" spans="1:10" x14ac:dyDescent="0.25">
      <c r="A164" s="18">
        <v>45957</v>
      </c>
      <c r="B164" s="13" t="s">
        <v>21</v>
      </c>
      <c r="C164" s="11">
        <v>-3220.48</v>
      </c>
      <c r="D164" s="13" t="s">
        <v>8</v>
      </c>
      <c r="E164" s="11" t="s">
        <v>230</v>
      </c>
      <c r="F164" s="13" t="s">
        <v>9</v>
      </c>
      <c r="G164" s="14" t="s">
        <v>185</v>
      </c>
      <c r="H164" s="3">
        <f t="shared" si="9"/>
        <v>45931</v>
      </c>
      <c r="I164" t="str">
        <f t="shared" si="10"/>
        <v>Expense</v>
      </c>
      <c r="J164" t="str">
        <f t="shared" si="11"/>
        <v>PAYROLL</v>
      </c>
    </row>
    <row r="165" spans="1:10" x14ac:dyDescent="0.25">
      <c r="A165" s="15">
        <v>45959</v>
      </c>
      <c r="B165" s="16" t="s">
        <v>19</v>
      </c>
      <c r="C165" s="12">
        <v>7331.28</v>
      </c>
      <c r="D165" s="16" t="s">
        <v>8</v>
      </c>
      <c r="E165" s="12" t="s">
        <v>229</v>
      </c>
      <c r="F165" s="16" t="s">
        <v>17</v>
      </c>
      <c r="G165" s="17" t="s">
        <v>186</v>
      </c>
      <c r="H165" s="3">
        <f t="shared" si="9"/>
        <v>45931</v>
      </c>
      <c r="I165" t="str">
        <f t="shared" si="10"/>
        <v>Income</v>
      </c>
      <c r="J165" t="str">
        <f t="shared" si="11"/>
        <v>STRIPE PAYOUT</v>
      </c>
    </row>
    <row r="166" spans="1:10" x14ac:dyDescent="0.25">
      <c r="A166" s="18">
        <v>45961</v>
      </c>
      <c r="B166" s="13" t="s">
        <v>19</v>
      </c>
      <c r="C166" s="11">
        <v>4912.97</v>
      </c>
      <c r="D166" s="13" t="s">
        <v>8</v>
      </c>
      <c r="E166" s="11" t="s">
        <v>229</v>
      </c>
      <c r="F166" s="13" t="s">
        <v>17</v>
      </c>
      <c r="G166" s="14" t="s">
        <v>187</v>
      </c>
      <c r="H166" s="3">
        <f t="shared" si="9"/>
        <v>45931</v>
      </c>
      <c r="I166" t="str">
        <f t="shared" si="10"/>
        <v>Income</v>
      </c>
      <c r="J166" t="str">
        <f t="shared" si="11"/>
        <v>STRIPE PAYOUT</v>
      </c>
    </row>
    <row r="167" spans="1:10" x14ac:dyDescent="0.25">
      <c r="A167" s="15">
        <v>45961</v>
      </c>
      <c r="B167" s="16" t="s">
        <v>19</v>
      </c>
      <c r="C167" s="12">
        <v>7406.24</v>
      </c>
      <c r="D167" s="16" t="s">
        <v>8</v>
      </c>
      <c r="E167" s="12" t="s">
        <v>229</v>
      </c>
      <c r="F167" s="16" t="s">
        <v>17</v>
      </c>
      <c r="G167" s="17" t="s">
        <v>188</v>
      </c>
      <c r="H167" s="3">
        <f t="shared" si="9"/>
        <v>45931</v>
      </c>
      <c r="I167" t="str">
        <f t="shared" si="10"/>
        <v>Income</v>
      </c>
      <c r="J167" t="str">
        <f t="shared" si="11"/>
        <v>STRIPE PAYOUT</v>
      </c>
    </row>
    <row r="168" spans="1:10" x14ac:dyDescent="0.25">
      <c r="A168" s="18">
        <v>45788</v>
      </c>
      <c r="B168" s="13" t="s">
        <v>47</v>
      </c>
      <c r="C168" s="11">
        <v>-176.7</v>
      </c>
      <c r="D168" s="13" t="s">
        <v>8</v>
      </c>
      <c r="E168" s="11" t="s">
        <v>233</v>
      </c>
      <c r="F168" s="13" t="s">
        <v>9</v>
      </c>
      <c r="G168" s="14" t="s">
        <v>189</v>
      </c>
      <c r="H168" s="3">
        <f t="shared" si="9"/>
        <v>45778</v>
      </c>
      <c r="I168" t="str">
        <f t="shared" si="10"/>
        <v>Expense</v>
      </c>
      <c r="J168" t="str">
        <f t="shared" si="11"/>
        <v>SOFTWARE SUBSCRIPTION</v>
      </c>
    </row>
    <row r="169" spans="1:10" x14ac:dyDescent="0.25">
      <c r="A169" s="15">
        <v>45849</v>
      </c>
      <c r="B169" s="16" t="s">
        <v>19</v>
      </c>
      <c r="C169" s="12">
        <v>4250.3599999999997</v>
      </c>
      <c r="D169" s="16" t="s">
        <v>8</v>
      </c>
      <c r="E169" s="12" t="s">
        <v>229</v>
      </c>
      <c r="F169" s="16" t="s">
        <v>17</v>
      </c>
      <c r="G169" s="17" t="s">
        <v>190</v>
      </c>
      <c r="H169" s="3">
        <f t="shared" si="9"/>
        <v>45839</v>
      </c>
      <c r="I169" t="str">
        <f t="shared" si="10"/>
        <v>Income</v>
      </c>
      <c r="J169" t="str">
        <f t="shared" si="11"/>
        <v>STRIPE PAYOUT</v>
      </c>
    </row>
    <row r="170" spans="1:10" x14ac:dyDescent="0.25">
      <c r="A170" s="18">
        <v>45974</v>
      </c>
      <c r="B170" s="13" t="s">
        <v>7</v>
      </c>
      <c r="C170" s="11">
        <v>-2000.52</v>
      </c>
      <c r="D170" s="13" t="s">
        <v>8</v>
      </c>
      <c r="E170" s="11" t="s">
        <v>226</v>
      </c>
      <c r="F170" s="13" t="s">
        <v>9</v>
      </c>
      <c r="G170" s="14" t="s">
        <v>191</v>
      </c>
      <c r="H170" s="3">
        <f t="shared" si="9"/>
        <v>45962</v>
      </c>
      <c r="I170" t="str">
        <f t="shared" si="10"/>
        <v>Expense</v>
      </c>
      <c r="J170" t="str">
        <f t="shared" si="11"/>
        <v>RENT</v>
      </c>
    </row>
    <row r="171" spans="1:10" x14ac:dyDescent="0.25">
      <c r="A171" s="15">
        <v>45974</v>
      </c>
      <c r="B171" s="16" t="s">
        <v>28</v>
      </c>
      <c r="C171" s="12">
        <v>-36.950000000000003</v>
      </c>
      <c r="D171" s="16" t="s">
        <v>8</v>
      </c>
      <c r="E171" s="12" t="s">
        <v>231</v>
      </c>
      <c r="F171" s="16" t="s">
        <v>9</v>
      </c>
      <c r="G171" s="17" t="s">
        <v>192</v>
      </c>
      <c r="H171" s="3">
        <f t="shared" si="9"/>
        <v>45962</v>
      </c>
      <c r="I171" t="str">
        <f t="shared" si="10"/>
        <v>Expense</v>
      </c>
      <c r="J171" t="str">
        <f t="shared" si="11"/>
        <v>BANK FEE</v>
      </c>
    </row>
    <row r="172" spans="1:10" x14ac:dyDescent="0.25">
      <c r="A172" s="18">
        <v>45976</v>
      </c>
      <c r="B172" s="13" t="s">
        <v>21</v>
      </c>
      <c r="C172" s="11">
        <v>-3536.89</v>
      </c>
      <c r="D172" s="13" t="s">
        <v>8</v>
      </c>
      <c r="E172" s="11" t="s">
        <v>230</v>
      </c>
      <c r="F172" s="13" t="s">
        <v>9</v>
      </c>
      <c r="G172" s="14" t="s">
        <v>193</v>
      </c>
      <c r="H172" s="3">
        <f t="shared" si="9"/>
        <v>45962</v>
      </c>
      <c r="I172" t="str">
        <f t="shared" si="10"/>
        <v>Expense</v>
      </c>
      <c r="J172" t="str">
        <f t="shared" si="11"/>
        <v>PAYROLL</v>
      </c>
    </row>
    <row r="173" spans="1:10" x14ac:dyDescent="0.25">
      <c r="A173" s="15">
        <v>45977</v>
      </c>
      <c r="B173" s="16" t="s">
        <v>47</v>
      </c>
      <c r="C173" s="12">
        <v>-97.48</v>
      </c>
      <c r="D173" s="16" t="s">
        <v>8</v>
      </c>
      <c r="E173" s="12" t="s">
        <v>233</v>
      </c>
      <c r="F173" s="16" t="s">
        <v>9</v>
      </c>
      <c r="G173" s="17" t="s">
        <v>194</v>
      </c>
      <c r="H173" s="3">
        <f t="shared" si="9"/>
        <v>45962</v>
      </c>
      <c r="I173" t="str">
        <f t="shared" si="10"/>
        <v>Expense</v>
      </c>
      <c r="J173" t="str">
        <f t="shared" si="11"/>
        <v>SOFTWARE SUBSCRIPTION</v>
      </c>
    </row>
    <row r="174" spans="1:10" x14ac:dyDescent="0.25">
      <c r="A174" s="18">
        <v>45979</v>
      </c>
      <c r="B174" s="13" t="s">
        <v>19</v>
      </c>
      <c r="C174" s="11">
        <v>6552.23</v>
      </c>
      <c r="D174" s="13" t="s">
        <v>8</v>
      </c>
      <c r="E174" s="11" t="s">
        <v>229</v>
      </c>
      <c r="F174" s="13" t="s">
        <v>17</v>
      </c>
      <c r="G174" s="14" t="s">
        <v>195</v>
      </c>
      <c r="H174" s="3">
        <f t="shared" si="9"/>
        <v>45962</v>
      </c>
      <c r="I174" t="str">
        <f t="shared" si="10"/>
        <v>Income</v>
      </c>
      <c r="J174" t="str">
        <f t="shared" si="11"/>
        <v>STRIPE PAYOUT</v>
      </c>
    </row>
    <row r="175" spans="1:10" x14ac:dyDescent="0.25">
      <c r="A175" s="15">
        <v>45980</v>
      </c>
      <c r="B175" s="16" t="s">
        <v>19</v>
      </c>
      <c r="C175" s="12">
        <v>3283.12</v>
      </c>
      <c r="D175" s="16" t="s">
        <v>8</v>
      </c>
      <c r="E175" s="12" t="s">
        <v>229</v>
      </c>
      <c r="F175" s="16" t="s">
        <v>17</v>
      </c>
      <c r="G175" s="17" t="s">
        <v>196</v>
      </c>
      <c r="H175" s="3">
        <f t="shared" si="9"/>
        <v>45962</v>
      </c>
      <c r="I175" t="str">
        <f t="shared" si="10"/>
        <v>Income</v>
      </c>
      <c r="J175" t="str">
        <f t="shared" si="11"/>
        <v>STRIPE PAYOUT</v>
      </c>
    </row>
    <row r="176" spans="1:10" x14ac:dyDescent="0.25">
      <c r="A176" s="18">
        <v>45982</v>
      </c>
      <c r="B176" s="13" t="s">
        <v>16</v>
      </c>
      <c r="C176" s="11">
        <v>2907.92</v>
      </c>
      <c r="D176" s="13" t="s">
        <v>8</v>
      </c>
      <c r="E176" s="11" t="s">
        <v>229</v>
      </c>
      <c r="F176" s="13" t="s">
        <v>17</v>
      </c>
      <c r="G176" s="14" t="s">
        <v>197</v>
      </c>
      <c r="H176" s="3">
        <f t="shared" si="9"/>
        <v>45962</v>
      </c>
      <c r="I176" t="str">
        <f t="shared" si="10"/>
        <v>Income</v>
      </c>
      <c r="J176" t="str">
        <f t="shared" si="11"/>
        <v>CLIENT PAYMENT</v>
      </c>
    </row>
    <row r="177" spans="1:10" x14ac:dyDescent="0.25">
      <c r="A177" s="15">
        <v>45982</v>
      </c>
      <c r="B177" s="16" t="s">
        <v>19</v>
      </c>
      <c r="C177" s="12">
        <v>5329.79</v>
      </c>
      <c r="D177" s="16" t="s">
        <v>8</v>
      </c>
      <c r="E177" s="12" t="s">
        <v>229</v>
      </c>
      <c r="F177" s="16" t="s">
        <v>17</v>
      </c>
      <c r="G177" s="17" t="s">
        <v>198</v>
      </c>
      <c r="H177" s="3">
        <f t="shared" si="9"/>
        <v>45962</v>
      </c>
      <c r="I177" t="str">
        <f t="shared" si="10"/>
        <v>Income</v>
      </c>
      <c r="J177" t="str">
        <f t="shared" si="11"/>
        <v>STRIPE PAYOUT</v>
      </c>
    </row>
    <row r="178" spans="1:10" x14ac:dyDescent="0.25">
      <c r="A178" s="18">
        <v>45983</v>
      </c>
      <c r="B178" s="13" t="s">
        <v>19</v>
      </c>
      <c r="C178" s="11">
        <v>3018.1</v>
      </c>
      <c r="D178" s="13" t="s">
        <v>8</v>
      </c>
      <c r="E178" s="11" t="s">
        <v>229</v>
      </c>
      <c r="F178" s="13" t="s">
        <v>17</v>
      </c>
      <c r="G178" s="14" t="s">
        <v>199</v>
      </c>
      <c r="H178" s="3">
        <f t="shared" si="9"/>
        <v>45962</v>
      </c>
      <c r="I178" t="str">
        <f t="shared" si="10"/>
        <v>Income</v>
      </c>
      <c r="J178" t="str">
        <f t="shared" si="11"/>
        <v>STRIPE PAYOUT</v>
      </c>
    </row>
    <row r="179" spans="1:10" x14ac:dyDescent="0.25">
      <c r="A179" s="15">
        <v>45983</v>
      </c>
      <c r="B179" s="16" t="s">
        <v>16</v>
      </c>
      <c r="C179" s="12">
        <v>1649.42</v>
      </c>
      <c r="D179" s="16" t="s">
        <v>8</v>
      </c>
      <c r="E179" s="12" t="s">
        <v>229</v>
      </c>
      <c r="F179" s="16" t="s">
        <v>17</v>
      </c>
      <c r="G179" s="17" t="s">
        <v>200</v>
      </c>
      <c r="H179" s="3">
        <f t="shared" si="9"/>
        <v>45962</v>
      </c>
      <c r="I179" t="str">
        <f t="shared" si="10"/>
        <v>Income</v>
      </c>
      <c r="J179" t="str">
        <f t="shared" si="11"/>
        <v>CLIENT PAYMENT</v>
      </c>
    </row>
    <row r="180" spans="1:10" x14ac:dyDescent="0.25">
      <c r="A180" s="18">
        <v>45983</v>
      </c>
      <c r="B180" s="13" t="s">
        <v>47</v>
      </c>
      <c r="C180" s="11">
        <v>-138.09</v>
      </c>
      <c r="D180" s="13" t="s">
        <v>8</v>
      </c>
      <c r="E180" s="11" t="s">
        <v>233</v>
      </c>
      <c r="F180" s="13" t="s">
        <v>9</v>
      </c>
      <c r="G180" s="14" t="s">
        <v>201</v>
      </c>
      <c r="H180" s="3">
        <f t="shared" si="9"/>
        <v>45962</v>
      </c>
      <c r="I180" t="str">
        <f t="shared" si="10"/>
        <v>Expense</v>
      </c>
      <c r="J180" t="str">
        <f t="shared" si="11"/>
        <v>SOFTWARE SUBSCRIPTION</v>
      </c>
    </row>
    <row r="181" spans="1:10" x14ac:dyDescent="0.25">
      <c r="A181" s="15">
        <v>45984</v>
      </c>
      <c r="B181" s="16" t="s">
        <v>47</v>
      </c>
      <c r="C181" s="12">
        <v>-85.99</v>
      </c>
      <c r="D181" s="16" t="s">
        <v>8</v>
      </c>
      <c r="E181" s="12" t="s">
        <v>233</v>
      </c>
      <c r="F181" s="16" t="s">
        <v>9</v>
      </c>
      <c r="G181" s="17" t="s">
        <v>202</v>
      </c>
      <c r="H181" s="3">
        <f t="shared" si="9"/>
        <v>45962</v>
      </c>
      <c r="I181" t="str">
        <f t="shared" si="10"/>
        <v>Expense</v>
      </c>
      <c r="J181" t="str">
        <f t="shared" si="11"/>
        <v>SOFTWARE SUBSCRIPTION</v>
      </c>
    </row>
    <row r="182" spans="1:10" x14ac:dyDescent="0.25">
      <c r="A182" s="18">
        <v>45988</v>
      </c>
      <c r="B182" s="13" t="s">
        <v>21</v>
      </c>
      <c r="C182" s="11">
        <v>-2676.8</v>
      </c>
      <c r="D182" s="13" t="s">
        <v>8</v>
      </c>
      <c r="E182" s="11" t="s">
        <v>230</v>
      </c>
      <c r="F182" s="13" t="s">
        <v>9</v>
      </c>
      <c r="G182" s="14" t="s">
        <v>203</v>
      </c>
      <c r="H182" s="3">
        <f t="shared" si="9"/>
        <v>45962</v>
      </c>
      <c r="I182" t="str">
        <f t="shared" si="10"/>
        <v>Expense</v>
      </c>
      <c r="J182" t="str">
        <f t="shared" si="11"/>
        <v>PAYROLL</v>
      </c>
    </row>
    <row r="183" spans="1:10" x14ac:dyDescent="0.25">
      <c r="A183" s="15">
        <v>45990</v>
      </c>
      <c r="B183" s="16" t="s">
        <v>21</v>
      </c>
      <c r="C183" s="12">
        <v>-3222.68</v>
      </c>
      <c r="D183" s="16" t="s">
        <v>8</v>
      </c>
      <c r="E183" s="12" t="s">
        <v>230</v>
      </c>
      <c r="F183" s="16" t="s">
        <v>9</v>
      </c>
      <c r="G183" s="17" t="s">
        <v>204</v>
      </c>
      <c r="H183" s="3">
        <f t="shared" si="9"/>
        <v>45962</v>
      </c>
      <c r="I183" t="str">
        <f t="shared" si="10"/>
        <v>Expense</v>
      </c>
      <c r="J183" t="str">
        <f t="shared" si="11"/>
        <v>PAYROLL</v>
      </c>
    </row>
    <row r="184" spans="1:10" x14ac:dyDescent="0.25">
      <c r="A184" s="18">
        <v>45990</v>
      </c>
      <c r="B184" s="13" t="s">
        <v>19</v>
      </c>
      <c r="C184" s="11">
        <v>7271.04</v>
      </c>
      <c r="D184" s="13" t="s">
        <v>8</v>
      </c>
      <c r="E184" s="11" t="s">
        <v>229</v>
      </c>
      <c r="F184" s="13" t="s">
        <v>17</v>
      </c>
      <c r="G184" s="14" t="s">
        <v>205</v>
      </c>
      <c r="H184" s="3">
        <f t="shared" si="9"/>
        <v>45962</v>
      </c>
      <c r="I184" t="str">
        <f t="shared" si="10"/>
        <v>Income</v>
      </c>
      <c r="J184" t="str">
        <f t="shared" si="11"/>
        <v>STRIPE PAYOUT</v>
      </c>
    </row>
    <row r="185" spans="1:10" x14ac:dyDescent="0.25">
      <c r="A185" s="15">
        <v>45669</v>
      </c>
      <c r="B185" s="16" t="s">
        <v>7</v>
      </c>
      <c r="C185" s="12">
        <v>-2003.18</v>
      </c>
      <c r="D185" s="16" t="s">
        <v>8</v>
      </c>
      <c r="E185" s="12" t="s">
        <v>226</v>
      </c>
      <c r="F185" s="16" t="s">
        <v>9</v>
      </c>
      <c r="G185" s="17" t="s">
        <v>206</v>
      </c>
      <c r="H185" s="3">
        <f t="shared" si="9"/>
        <v>45658</v>
      </c>
      <c r="I185" t="str">
        <f t="shared" si="10"/>
        <v>Expense</v>
      </c>
      <c r="J185" t="str">
        <f t="shared" si="11"/>
        <v>RENT</v>
      </c>
    </row>
    <row r="186" spans="1:10" x14ac:dyDescent="0.25">
      <c r="A186" s="18">
        <v>45759</v>
      </c>
      <c r="B186" s="13" t="s">
        <v>19</v>
      </c>
      <c r="C186" s="11">
        <v>5965.21</v>
      </c>
      <c r="D186" s="13" t="s">
        <v>8</v>
      </c>
      <c r="E186" s="11" t="s">
        <v>229</v>
      </c>
      <c r="F186" s="13" t="s">
        <v>17</v>
      </c>
      <c r="G186" s="14" t="s">
        <v>207</v>
      </c>
      <c r="H186" s="3">
        <f t="shared" si="9"/>
        <v>45748</v>
      </c>
      <c r="I186" t="str">
        <f t="shared" si="10"/>
        <v>Income</v>
      </c>
      <c r="J186" t="str">
        <f t="shared" si="11"/>
        <v>STRIPE PAYOUT</v>
      </c>
    </row>
    <row r="187" spans="1:10" x14ac:dyDescent="0.25">
      <c r="A187" s="15">
        <v>45881</v>
      </c>
      <c r="B187" s="16" t="s">
        <v>16</v>
      </c>
      <c r="C187" s="12">
        <v>2132.1999999999998</v>
      </c>
      <c r="D187" s="16" t="s">
        <v>8</v>
      </c>
      <c r="E187" s="12" t="s">
        <v>229</v>
      </c>
      <c r="F187" s="16" t="s">
        <v>17</v>
      </c>
      <c r="G187" s="17" t="s">
        <v>208</v>
      </c>
      <c r="H187" s="3">
        <f t="shared" si="9"/>
        <v>45870</v>
      </c>
      <c r="I187" t="str">
        <f t="shared" si="10"/>
        <v>Income</v>
      </c>
      <c r="J187" t="str">
        <f t="shared" si="11"/>
        <v>CLIENT PAYMENT</v>
      </c>
    </row>
    <row r="188" spans="1:10" x14ac:dyDescent="0.25">
      <c r="A188" s="18">
        <v>45881</v>
      </c>
      <c r="B188" s="13" t="s">
        <v>34</v>
      </c>
      <c r="C188" s="11">
        <v>-941.87</v>
      </c>
      <c r="D188" s="13" t="s">
        <v>8</v>
      </c>
      <c r="E188" s="11" t="s">
        <v>232</v>
      </c>
      <c r="F188" s="13" t="s">
        <v>9</v>
      </c>
      <c r="G188" s="14" t="s">
        <v>209</v>
      </c>
      <c r="H188" s="3">
        <f t="shared" si="9"/>
        <v>45870</v>
      </c>
      <c r="I188" t="str">
        <f t="shared" si="10"/>
        <v>Expense</v>
      </c>
      <c r="J188" t="str">
        <f t="shared" si="11"/>
        <v>GOOGLE ADS</v>
      </c>
    </row>
    <row r="189" spans="1:10" x14ac:dyDescent="0.25">
      <c r="A189" s="15">
        <v>46006</v>
      </c>
      <c r="B189" s="16" t="s">
        <v>41</v>
      </c>
      <c r="C189" s="12">
        <v>-39.25</v>
      </c>
      <c r="D189" s="16" t="s">
        <v>8</v>
      </c>
      <c r="E189" s="12" t="s">
        <v>233</v>
      </c>
      <c r="F189" s="16" t="s">
        <v>9</v>
      </c>
      <c r="G189" s="17" t="s">
        <v>210</v>
      </c>
      <c r="H189" s="3">
        <f t="shared" si="9"/>
        <v>45992</v>
      </c>
      <c r="I189" t="str">
        <f t="shared" si="10"/>
        <v>Expense</v>
      </c>
      <c r="J189" t="str">
        <f t="shared" si="11"/>
        <v>SLACK SUBSCRIPTION</v>
      </c>
    </row>
    <row r="190" spans="1:10" x14ac:dyDescent="0.25">
      <c r="A190" s="18">
        <v>46006</v>
      </c>
      <c r="B190" s="13" t="s">
        <v>28</v>
      </c>
      <c r="C190" s="11">
        <v>-36.450000000000003</v>
      </c>
      <c r="D190" s="13" t="s">
        <v>8</v>
      </c>
      <c r="E190" s="11" t="s">
        <v>231</v>
      </c>
      <c r="F190" s="13" t="s">
        <v>9</v>
      </c>
      <c r="G190" s="14" t="s">
        <v>211</v>
      </c>
      <c r="H190" s="3">
        <f t="shared" si="9"/>
        <v>45992</v>
      </c>
      <c r="I190" t="str">
        <f t="shared" si="10"/>
        <v>Expense</v>
      </c>
      <c r="J190" t="str">
        <f t="shared" si="11"/>
        <v>BANK FEE</v>
      </c>
    </row>
    <row r="191" spans="1:10" x14ac:dyDescent="0.25">
      <c r="A191" s="15">
        <v>46006</v>
      </c>
      <c r="B191" s="16" t="s">
        <v>34</v>
      </c>
      <c r="C191" s="12">
        <v>-1126.3900000000001</v>
      </c>
      <c r="D191" s="16" t="s">
        <v>8</v>
      </c>
      <c r="E191" s="12" t="s">
        <v>232</v>
      </c>
      <c r="F191" s="16" t="s">
        <v>9</v>
      </c>
      <c r="G191" s="17" t="s">
        <v>212</v>
      </c>
      <c r="H191" s="3">
        <f t="shared" si="9"/>
        <v>45992</v>
      </c>
      <c r="I191" t="str">
        <f t="shared" si="10"/>
        <v>Expense</v>
      </c>
      <c r="J191" t="str">
        <f t="shared" si="11"/>
        <v>GOOGLE ADS</v>
      </c>
    </row>
    <row r="192" spans="1:10" x14ac:dyDescent="0.25">
      <c r="A192" s="18">
        <v>46007</v>
      </c>
      <c r="B192" s="13" t="s">
        <v>41</v>
      </c>
      <c r="C192" s="11">
        <v>-63.59</v>
      </c>
      <c r="D192" s="13" t="s">
        <v>8</v>
      </c>
      <c r="E192" s="11" t="s">
        <v>233</v>
      </c>
      <c r="F192" s="13" t="s">
        <v>9</v>
      </c>
      <c r="G192" s="14" t="s">
        <v>213</v>
      </c>
      <c r="H192" s="3">
        <f t="shared" si="9"/>
        <v>45992</v>
      </c>
      <c r="I192" t="str">
        <f t="shared" si="10"/>
        <v>Expense</v>
      </c>
      <c r="J192" t="str">
        <f t="shared" si="11"/>
        <v>SLACK SUBSCRIPTION</v>
      </c>
    </row>
    <row r="193" spans="1:10" x14ac:dyDescent="0.25">
      <c r="A193" s="15">
        <v>46008</v>
      </c>
      <c r="B193" s="16" t="s">
        <v>70</v>
      </c>
      <c r="C193" s="12">
        <v>29.83</v>
      </c>
      <c r="D193" s="16" t="s">
        <v>8</v>
      </c>
      <c r="E193" s="12" t="s">
        <v>229</v>
      </c>
      <c r="F193" s="16" t="s">
        <v>17</v>
      </c>
      <c r="G193" s="17" t="s">
        <v>214</v>
      </c>
      <c r="H193" s="3">
        <f t="shared" si="9"/>
        <v>45992</v>
      </c>
      <c r="I193" t="str">
        <f t="shared" si="10"/>
        <v>Income</v>
      </c>
      <c r="J193" t="str">
        <f t="shared" si="11"/>
        <v>INTEREST INCOME</v>
      </c>
    </row>
    <row r="194" spans="1:10" x14ac:dyDescent="0.25">
      <c r="A194" s="18">
        <v>46009</v>
      </c>
      <c r="B194" s="13" t="s">
        <v>19</v>
      </c>
      <c r="C194" s="11">
        <v>5194.08</v>
      </c>
      <c r="D194" s="13" t="s">
        <v>8</v>
      </c>
      <c r="E194" s="11" t="s">
        <v>229</v>
      </c>
      <c r="F194" s="13" t="s">
        <v>17</v>
      </c>
      <c r="G194" s="14" t="s">
        <v>215</v>
      </c>
      <c r="H194" s="3">
        <f t="shared" si="9"/>
        <v>45992</v>
      </c>
      <c r="I194" t="str">
        <f t="shared" si="10"/>
        <v>Income</v>
      </c>
      <c r="J194" t="str">
        <f t="shared" si="11"/>
        <v>STRIPE PAYOUT</v>
      </c>
    </row>
    <row r="195" spans="1:10" x14ac:dyDescent="0.25">
      <c r="A195" s="15">
        <v>46017</v>
      </c>
      <c r="B195" s="16" t="s">
        <v>19</v>
      </c>
      <c r="C195" s="12">
        <v>4448.47</v>
      </c>
      <c r="D195" s="16" t="s">
        <v>8</v>
      </c>
      <c r="E195" s="12" t="s">
        <v>229</v>
      </c>
      <c r="F195" s="16" t="s">
        <v>17</v>
      </c>
      <c r="G195" s="17" t="s">
        <v>216</v>
      </c>
      <c r="H195" s="3">
        <f t="shared" ref="H195:H201" si="12">DATE(YEAR(A195),MONTH(A195),1)</f>
        <v>45992</v>
      </c>
      <c r="I195" t="str">
        <f t="shared" ref="I195:I201" si="13">IF(C195&lt;0,"Expense","Income")</f>
        <v>Income</v>
      </c>
      <c r="J195" t="str">
        <f t="shared" ref="J195:J201" si="14">UPPER(TRIM(B195))</f>
        <v>STRIPE PAYOUT</v>
      </c>
    </row>
    <row r="196" spans="1:10" x14ac:dyDescent="0.25">
      <c r="A196" s="18">
        <v>46018</v>
      </c>
      <c r="B196" s="13" t="s">
        <v>47</v>
      </c>
      <c r="C196" s="11">
        <v>-93.92</v>
      </c>
      <c r="D196" s="13" t="s">
        <v>8</v>
      </c>
      <c r="E196" s="11" t="s">
        <v>233</v>
      </c>
      <c r="F196" s="13" t="s">
        <v>9</v>
      </c>
      <c r="G196" s="14" t="s">
        <v>217</v>
      </c>
      <c r="H196" s="3">
        <f t="shared" si="12"/>
        <v>45992</v>
      </c>
      <c r="I196" t="str">
        <f t="shared" si="13"/>
        <v>Expense</v>
      </c>
      <c r="J196" t="str">
        <f t="shared" si="14"/>
        <v>SOFTWARE SUBSCRIPTION</v>
      </c>
    </row>
    <row r="197" spans="1:10" x14ac:dyDescent="0.25">
      <c r="A197" s="15">
        <v>46019</v>
      </c>
      <c r="B197" s="16" t="s">
        <v>21</v>
      </c>
      <c r="C197" s="12">
        <v>-3007.34</v>
      </c>
      <c r="D197" s="16" t="s">
        <v>8</v>
      </c>
      <c r="E197" s="12" t="s">
        <v>230</v>
      </c>
      <c r="F197" s="16" t="s">
        <v>9</v>
      </c>
      <c r="G197" s="17" t="s">
        <v>218</v>
      </c>
      <c r="H197" s="3">
        <f t="shared" si="12"/>
        <v>45992</v>
      </c>
      <c r="I197" t="str">
        <f t="shared" si="13"/>
        <v>Expense</v>
      </c>
      <c r="J197" t="str">
        <f t="shared" si="14"/>
        <v>PAYROLL</v>
      </c>
    </row>
    <row r="198" spans="1:10" x14ac:dyDescent="0.25">
      <c r="A198" s="18">
        <v>46020</v>
      </c>
      <c r="B198" s="13" t="s">
        <v>70</v>
      </c>
      <c r="C198" s="11">
        <v>28.8</v>
      </c>
      <c r="D198" s="13" t="s">
        <v>8</v>
      </c>
      <c r="E198" s="11" t="s">
        <v>229</v>
      </c>
      <c r="F198" s="13" t="s">
        <v>17</v>
      </c>
      <c r="G198" s="14" t="s">
        <v>219</v>
      </c>
      <c r="H198" s="3">
        <f t="shared" si="12"/>
        <v>45992</v>
      </c>
      <c r="I198" t="str">
        <f t="shared" si="13"/>
        <v>Income</v>
      </c>
      <c r="J198" t="str">
        <f t="shared" si="14"/>
        <v>INTEREST INCOME</v>
      </c>
    </row>
    <row r="199" spans="1:10" x14ac:dyDescent="0.25">
      <c r="A199" s="15">
        <v>46020</v>
      </c>
      <c r="B199" s="16" t="s">
        <v>16</v>
      </c>
      <c r="C199" s="12">
        <v>3875.32</v>
      </c>
      <c r="D199" s="16" t="s">
        <v>8</v>
      </c>
      <c r="E199" s="12" t="s">
        <v>229</v>
      </c>
      <c r="F199" s="16" t="s">
        <v>17</v>
      </c>
      <c r="G199" s="17" t="s">
        <v>220</v>
      </c>
      <c r="H199" s="3">
        <f t="shared" si="12"/>
        <v>45992</v>
      </c>
      <c r="I199" t="str">
        <f t="shared" si="13"/>
        <v>Income</v>
      </c>
      <c r="J199" t="str">
        <f t="shared" si="14"/>
        <v>CLIENT PAYMENT</v>
      </c>
    </row>
    <row r="200" spans="1:10" x14ac:dyDescent="0.25">
      <c r="A200" s="18">
        <v>46020</v>
      </c>
      <c r="B200" s="13" t="s">
        <v>14</v>
      </c>
      <c r="C200" s="11">
        <v>-53.41</v>
      </c>
      <c r="D200" s="13" t="s">
        <v>12</v>
      </c>
      <c r="E200" s="11" t="s">
        <v>228</v>
      </c>
      <c r="F200" s="13" t="s">
        <v>9</v>
      </c>
      <c r="G200" s="14" t="s">
        <v>221</v>
      </c>
      <c r="H200" s="3">
        <f t="shared" si="12"/>
        <v>45992</v>
      </c>
      <c r="I200" t="str">
        <f t="shared" si="13"/>
        <v>Expense</v>
      </c>
      <c r="J200" t="str">
        <f t="shared" si="14"/>
        <v>UBER</v>
      </c>
    </row>
    <row r="201" spans="1:10" x14ac:dyDescent="0.25">
      <c r="A201" s="15">
        <v>46021</v>
      </c>
      <c r="B201" s="16" t="s">
        <v>16</v>
      </c>
      <c r="C201" s="12">
        <v>5696.18</v>
      </c>
      <c r="D201" s="16" t="s">
        <v>8</v>
      </c>
      <c r="E201" s="12" t="s">
        <v>229</v>
      </c>
      <c r="F201" s="16" t="s">
        <v>17</v>
      </c>
      <c r="G201" s="17" t="s">
        <v>222</v>
      </c>
      <c r="H201" s="3">
        <f t="shared" si="12"/>
        <v>45992</v>
      </c>
      <c r="I201" t="str">
        <f t="shared" si="13"/>
        <v>Income</v>
      </c>
      <c r="J201" t="str">
        <f t="shared" si="14"/>
        <v>CLIENT PAYMENT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02EA-550E-4736-AAFD-5D48069D90A4}">
  <sheetPr codeName="Sheet3"/>
  <dimension ref="B2:L35"/>
  <sheetViews>
    <sheetView showGridLines="0" tabSelected="1" zoomScale="90" zoomScaleNormal="90" workbookViewId="0">
      <pane ySplit="4" topLeftCell="A5" activePane="bottomLeft" state="frozen"/>
      <selection pane="bottomLeft" activeCell="J3" sqref="J3:K3"/>
    </sheetView>
  </sheetViews>
  <sheetFormatPr defaultRowHeight="15" x14ac:dyDescent="0.25"/>
  <cols>
    <col min="1" max="1" width="3.7109375" customWidth="1"/>
    <col min="2" max="4" width="14.7109375" customWidth="1"/>
    <col min="5" max="5" width="4.7109375" customWidth="1"/>
    <col min="6" max="8" width="16.7109375" customWidth="1"/>
    <col min="9" max="9" width="4.7109375" customWidth="1"/>
    <col min="10" max="12" width="16.7109375" customWidth="1"/>
  </cols>
  <sheetData>
    <row r="2" spans="2:11" ht="21.95" customHeight="1" thickBot="1" x14ac:dyDescent="0.3">
      <c r="B2" s="21" t="s">
        <v>234</v>
      </c>
      <c r="C2" s="21"/>
      <c r="D2" s="21"/>
      <c r="E2" s="21"/>
      <c r="F2" s="21"/>
      <c r="G2" s="21"/>
      <c r="H2" s="21"/>
      <c r="J2" s="4" t="s">
        <v>235</v>
      </c>
    </row>
    <row r="3" spans="2:11" ht="21.95" customHeight="1" thickBot="1" x14ac:dyDescent="0.3">
      <c r="B3" s="22" t="str">
        <f>"Reporting Period: "&amp;TEXT(J3,"mmmm yyyy")</f>
        <v>Reporting Period: May 2025</v>
      </c>
      <c r="C3" s="22"/>
      <c r="D3" s="22"/>
      <c r="E3" s="22"/>
      <c r="F3" s="22"/>
      <c r="G3" s="22"/>
      <c r="H3" s="22"/>
      <c r="J3" s="23">
        <v>45778</v>
      </c>
      <c r="K3" s="24"/>
    </row>
    <row r="4" spans="2:11" ht="15.75" thickBot="1" x14ac:dyDescent="0.3"/>
    <row r="5" spans="2:11" ht="15.75" thickBot="1" x14ac:dyDescent="0.3">
      <c r="B5" s="25" t="s">
        <v>236</v>
      </c>
      <c r="C5" s="25"/>
      <c r="D5" s="27" t="s">
        <v>237</v>
      </c>
      <c r="E5" s="27"/>
      <c r="F5" s="29" t="s">
        <v>238</v>
      </c>
      <c r="G5" s="29"/>
      <c r="H5" s="31" t="s">
        <v>239</v>
      </c>
      <c r="I5" s="31"/>
      <c r="J5" s="31"/>
    </row>
    <row r="6" spans="2:11" ht="15.75" thickBot="1" x14ac:dyDescent="0.3">
      <c r="B6" s="25"/>
      <c r="C6" s="25"/>
      <c r="D6" s="27"/>
      <c r="E6" s="27"/>
      <c r="F6" s="29"/>
      <c r="G6" s="29"/>
      <c r="H6" s="31"/>
      <c r="I6" s="31"/>
      <c r="J6" s="31"/>
    </row>
    <row r="7" spans="2:11" ht="15" customHeight="1" thickBot="1" x14ac:dyDescent="0.3">
      <c r="B7" s="26">
        <f>SUMIFS(Categorized_Data!$C:$C,Categorized_Data!$E:$E,"Revenue",Categorized_Data!$H:$H,$J$3)</f>
        <v>22292.440000000002</v>
      </c>
      <c r="C7" s="26"/>
      <c r="D7" s="28">
        <f>ABS(SUMIFS(Categorized_Data!$C:$C,Categorized_Data!$C:$C,"&lt;0",Categorized_Data!$H:$H,$J$3))</f>
        <v>7848.449999999998</v>
      </c>
      <c r="E7" s="28"/>
      <c r="F7" s="30">
        <f>B7-D7</f>
        <v>14443.990000000005</v>
      </c>
      <c r="G7" s="30"/>
      <c r="H7" s="20">
        <f>COUNTIFS(Categorized_Data!$H:$H,$J$3)</f>
        <v>16</v>
      </c>
      <c r="I7" s="20"/>
      <c r="J7" s="20"/>
    </row>
    <row r="8" spans="2:11" ht="15" customHeight="1" thickBot="1" x14ac:dyDescent="0.3">
      <c r="B8" s="26"/>
      <c r="C8" s="26"/>
      <c r="D8" s="28"/>
      <c r="E8" s="28"/>
      <c r="F8" s="30"/>
      <c r="G8" s="30"/>
      <c r="H8" s="20"/>
      <c r="I8" s="20"/>
      <c r="J8" s="20"/>
    </row>
    <row r="9" spans="2:11" ht="15.75" customHeight="1" thickBot="1" x14ac:dyDescent="0.3">
      <c r="B9" s="26"/>
      <c r="C9" s="26"/>
      <c r="D9" s="28"/>
      <c r="E9" s="28"/>
      <c r="F9" s="30"/>
      <c r="G9" s="30"/>
      <c r="H9" s="20"/>
      <c r="I9" s="20"/>
      <c r="J9" s="20"/>
    </row>
    <row r="12" spans="2:11" x14ac:dyDescent="0.25">
      <c r="B12" s="6" t="s">
        <v>240</v>
      </c>
      <c r="C12" s="6" t="s">
        <v>229</v>
      </c>
      <c r="D12" s="6" t="s">
        <v>241</v>
      </c>
    </row>
    <row r="13" spans="2:11" x14ac:dyDescent="0.25">
      <c r="B13" s="10">
        <f>Control!C2</f>
        <v>45658</v>
      </c>
      <c r="C13" s="8">
        <f>SUMIFS(Categorized_Data!$C:$C,Categorized_Data!$E:$E,"Revenue",Categorized_Data!$H:$H,$B13)</f>
        <v>27992.46</v>
      </c>
      <c r="D13" s="8">
        <f>ABS(SUMIFS(Categorized_Data!$C:$C,Categorized_Data!$C:$C,"&lt;0",Categorized_Data!$H:$H,$B13))</f>
        <v>5351.03</v>
      </c>
    </row>
    <row r="14" spans="2:11" x14ac:dyDescent="0.25">
      <c r="B14" s="10">
        <f>EDATE(B13,1)</f>
        <v>45689</v>
      </c>
      <c r="C14" s="8">
        <f>SUMIFS(Categorized_Data!$C:$C,Categorized_Data!$E:$E,"Revenue",Categorized_Data!$H:$H,$B14)</f>
        <v>28922.12</v>
      </c>
      <c r="D14" s="8">
        <f>ABS(SUMIFS(Categorized_Data!$C:$C,Categorized_Data!$C:$C,"&lt;0",Categorized_Data!$H:$H,$B14))</f>
        <v>10245.420000000002</v>
      </c>
    </row>
    <row r="15" spans="2:11" x14ac:dyDescent="0.25">
      <c r="B15" s="10">
        <f t="shared" ref="B15:B24" si="0">EDATE(B14,1)</f>
        <v>45717</v>
      </c>
      <c r="C15" s="8">
        <f>SUMIFS(Categorized_Data!$C:$C,Categorized_Data!$E:$E,"Revenue",Categorized_Data!$H:$H,$B15)</f>
        <v>18557.399999999998</v>
      </c>
      <c r="D15" s="8">
        <f>ABS(SUMIFS(Categorized_Data!$C:$C,Categorized_Data!$C:$C,"&lt;0",Categorized_Data!$H:$H,$B15))</f>
        <v>12070.09</v>
      </c>
    </row>
    <row r="16" spans="2:11" x14ac:dyDescent="0.25">
      <c r="B16" s="10">
        <f t="shared" si="0"/>
        <v>45748</v>
      </c>
      <c r="C16" s="8">
        <f>SUMIFS(Categorized_Data!$C:$C,Categorized_Data!$E:$E,"Revenue",Categorized_Data!$H:$H,$B16)</f>
        <v>41907.089999999997</v>
      </c>
      <c r="D16" s="8">
        <f>ABS(SUMIFS(Categorized_Data!$C:$C,Categorized_Data!$C:$C,"&lt;0",Categorized_Data!$H:$H,$B16))</f>
        <v>7960.1399999999994</v>
      </c>
    </row>
    <row r="17" spans="2:12" x14ac:dyDescent="0.25">
      <c r="B17" s="10">
        <f t="shared" si="0"/>
        <v>45778</v>
      </c>
      <c r="C17" s="8">
        <f>SUMIFS(Categorized_Data!$C:$C,Categorized_Data!$E:$E,"Revenue",Categorized_Data!$H:$H,$B17)</f>
        <v>22292.440000000002</v>
      </c>
      <c r="D17" s="8">
        <f>ABS(SUMIFS(Categorized_Data!$C:$C,Categorized_Data!$C:$C,"&lt;0",Categorized_Data!$H:$H,$B17))</f>
        <v>7848.449999999998</v>
      </c>
    </row>
    <row r="18" spans="2:12" x14ac:dyDescent="0.25">
      <c r="B18" s="10">
        <f t="shared" si="0"/>
        <v>45809</v>
      </c>
      <c r="C18" s="8">
        <f>SUMIFS(Categorized_Data!$C:$C,Categorized_Data!$E:$E,"Revenue",Categorized_Data!$H:$H,$B18)</f>
        <v>52996.13</v>
      </c>
      <c r="D18" s="8">
        <f>ABS(SUMIFS(Categorized_Data!$C:$C,Categorized_Data!$C:$C,"&lt;0",Categorized_Data!$H:$H,$B18))</f>
        <v>6438.13</v>
      </c>
    </row>
    <row r="19" spans="2:12" x14ac:dyDescent="0.25">
      <c r="B19" s="10">
        <f t="shared" si="0"/>
        <v>45839</v>
      </c>
      <c r="C19" s="8">
        <f>SUMIFS(Categorized_Data!$C:$C,Categorized_Data!$E:$E,"Revenue",Categorized_Data!$H:$H,$B19)</f>
        <v>37960.699999999997</v>
      </c>
      <c r="D19" s="8">
        <f>ABS(SUMIFS(Categorized_Data!$C:$C,Categorized_Data!$C:$C,"&lt;0",Categorized_Data!$H:$H,$B19))</f>
        <v>8687.68</v>
      </c>
    </row>
    <row r="20" spans="2:12" x14ac:dyDescent="0.25">
      <c r="B20" s="10">
        <f t="shared" si="0"/>
        <v>45870</v>
      </c>
      <c r="C20" s="8">
        <f>SUMIFS(Categorized_Data!$C:$C,Categorized_Data!$E:$E,"Revenue",Categorized_Data!$H:$H,$B20)</f>
        <v>28036.190000000002</v>
      </c>
      <c r="D20" s="8">
        <f>ABS(SUMIFS(Categorized_Data!$C:$C,Categorized_Data!$C:$C,"&lt;0",Categorized_Data!$H:$H,$B20))</f>
        <v>15297.279999999999</v>
      </c>
    </row>
    <row r="21" spans="2:12" x14ac:dyDescent="0.25">
      <c r="B21" s="10">
        <f t="shared" si="0"/>
        <v>45901</v>
      </c>
      <c r="C21" s="8">
        <f>SUMIFS(Categorized_Data!$C:$C,Categorized_Data!$E:$E,"Revenue",Categorized_Data!$H:$H,$B21)</f>
        <v>27782.78</v>
      </c>
      <c r="D21" s="8">
        <f>ABS(SUMIFS(Categorized_Data!$C:$C,Categorized_Data!$C:$C,"&lt;0",Categorized_Data!$H:$H,$B21))</f>
        <v>9074.82</v>
      </c>
    </row>
    <row r="22" spans="2:12" x14ac:dyDescent="0.25">
      <c r="B22" s="10">
        <f t="shared" si="0"/>
        <v>45931</v>
      </c>
      <c r="C22" s="8">
        <f>SUMIFS(Categorized_Data!$C:$C,Categorized_Data!$E:$E,"Revenue",Categorized_Data!$H:$H,$B22)</f>
        <v>36250.81</v>
      </c>
      <c r="D22" s="8">
        <f>ABS(SUMIFS(Categorized_Data!$C:$C,Categorized_Data!$C:$C,"&lt;0",Categorized_Data!$H:$H,$B22))</f>
        <v>11887.439999999999</v>
      </c>
    </row>
    <row r="23" spans="2:12" x14ac:dyDescent="0.25">
      <c r="B23" s="10">
        <f t="shared" si="0"/>
        <v>45962</v>
      </c>
      <c r="C23" s="8">
        <f>SUMIFS(Categorized_Data!$C:$C,Categorized_Data!$E:$E,"Revenue",Categorized_Data!$H:$H,$B23)</f>
        <v>49276.42</v>
      </c>
      <c r="D23" s="8">
        <f>ABS(SUMIFS(Categorized_Data!$C:$C,Categorized_Data!$C:$C,"&lt;0",Categorized_Data!$H:$H,$B23))</f>
        <v>15961.75</v>
      </c>
    </row>
    <row r="24" spans="2:12" x14ac:dyDescent="0.25">
      <c r="B24" s="10">
        <f t="shared" si="0"/>
        <v>45992</v>
      </c>
      <c r="C24" s="8">
        <f>SUMIFS(Categorized_Data!$C:$C,Categorized_Data!$E:$E,"Revenue",Categorized_Data!$H:$H,$B24)</f>
        <v>22717.649999999998</v>
      </c>
      <c r="D24" s="8">
        <f>ABS(SUMIFS(Categorized_Data!$C:$C,Categorized_Data!$C:$C,"&lt;0",Categorized_Data!$H:$H,$B24))</f>
        <v>7562.59</v>
      </c>
    </row>
    <row r="27" spans="2:12" x14ac:dyDescent="0.25">
      <c r="B27" s="6" t="s">
        <v>4</v>
      </c>
      <c r="C27" s="6" t="s">
        <v>2</v>
      </c>
      <c r="J27" s="19" t="s">
        <v>242</v>
      </c>
      <c r="K27" s="19"/>
      <c r="L27" s="19"/>
    </row>
    <row r="28" spans="2:12" x14ac:dyDescent="0.25">
      <c r="B28" s="5" t="str">
        <f>Control!A2</f>
        <v>Rent Expense</v>
      </c>
      <c r="C28" s="8">
        <f>ABS(SUMIFS(Categorized_Data!$C:$C,Categorized_Data!$E:$E,B28,Categorized_Data!$H:$H,$J$3))</f>
        <v>2197.84</v>
      </c>
      <c r="J28" s="6" t="s">
        <v>0</v>
      </c>
      <c r="K28" s="6" t="s">
        <v>1</v>
      </c>
      <c r="L28" s="6" t="s">
        <v>2</v>
      </c>
    </row>
    <row r="29" spans="2:12" x14ac:dyDescent="0.25">
      <c r="B29" s="5" t="str">
        <f>Control!A3</f>
        <v>Payroll Expense</v>
      </c>
      <c r="C29" s="8">
        <f>ABS(SUMIFS(Categorized_Data!$C:$C,Categorized_Data!$E:$E,B29,Categorized_Data!$H:$H,$J$3))</f>
        <v>2907.16</v>
      </c>
      <c r="J29" s="7">
        <v>45965</v>
      </c>
      <c r="K29" s="5" t="s">
        <v>21</v>
      </c>
      <c r="L29" s="8">
        <v>4166.3500000000004</v>
      </c>
    </row>
    <row r="30" spans="2:12" x14ac:dyDescent="0.25">
      <c r="B30" s="5" t="str">
        <f>Control!A4</f>
        <v>Software</v>
      </c>
      <c r="C30" s="8">
        <f>ABS(SUMIFS(Categorized_Data!$C:$C,Categorized_Data!$E:$E,B30,Categorized_Data!$H:$H,$J$3))</f>
        <v>408.95</v>
      </c>
      <c r="J30" s="7">
        <v>45836</v>
      </c>
      <c r="K30" s="5" t="s">
        <v>21</v>
      </c>
      <c r="L30" s="8">
        <v>3902.68</v>
      </c>
    </row>
    <row r="31" spans="2:12" x14ac:dyDescent="0.25">
      <c r="B31" s="5" t="str">
        <f>Control!A5</f>
        <v>Marketing</v>
      </c>
      <c r="C31" s="8">
        <f>ABS(SUMIFS(Categorized_Data!$C:$C,Categorized_Data!$E:$E,B31,Categorized_Data!$H:$H,$J$3))</f>
        <v>1928.38</v>
      </c>
      <c r="J31" s="7">
        <v>45722</v>
      </c>
      <c r="K31" s="5" t="s">
        <v>21</v>
      </c>
      <c r="L31" s="8">
        <v>3885.24</v>
      </c>
    </row>
    <row r="32" spans="2:12" x14ac:dyDescent="0.25">
      <c r="B32" s="5" t="str">
        <f>Control!A6</f>
        <v>Travel</v>
      </c>
      <c r="C32" s="8">
        <f>ABS(SUMIFS(Categorized_Data!$C:$C,Categorized_Data!$E:$E,B32,Categorized_Data!$H:$H,$J$3))</f>
        <v>28.65</v>
      </c>
      <c r="J32" s="7">
        <v>45925</v>
      </c>
      <c r="K32" s="5" t="s">
        <v>21</v>
      </c>
      <c r="L32" s="8">
        <v>3753.4</v>
      </c>
    </row>
    <row r="33" spans="2:12" x14ac:dyDescent="0.25">
      <c r="B33" s="5" t="str">
        <f>Control!A7</f>
        <v>Office Supplies</v>
      </c>
      <c r="C33" s="8">
        <f>ABS(SUMIFS(Categorized_Data!$C:$C,Categorized_Data!$E:$E,B33,Categorized_Data!$H:$H,$J$3))</f>
        <v>307.66000000000003</v>
      </c>
      <c r="J33" s="7">
        <v>45932</v>
      </c>
      <c r="K33" s="5" t="s">
        <v>21</v>
      </c>
      <c r="L33" s="8">
        <v>3672.1</v>
      </c>
    </row>
    <row r="34" spans="2:12" x14ac:dyDescent="0.25">
      <c r="B34" s="5" t="str">
        <f>Control!A8</f>
        <v>Bank Fees</v>
      </c>
      <c r="C34" s="8">
        <f>ABS(SUMIFS(Categorized_Data!$C:$C,Categorized_Data!$E:$E,B34,Categorized_Data!$H:$H,$J$3))</f>
        <v>69.81</v>
      </c>
    </row>
    <row r="35" spans="2:12" x14ac:dyDescent="0.25">
      <c r="B35" s="5" t="str">
        <f>Control!A9</f>
        <v>Other</v>
      </c>
      <c r="C35" s="8">
        <f>ABS(SUMIFS(Categorized_Data!$C:$C,Categorized_Data!$E:$E,B35,Categorized_Data!$H:$H,$J$3))</f>
        <v>0</v>
      </c>
    </row>
  </sheetData>
  <mergeCells count="12">
    <mergeCell ref="J27:L27"/>
    <mergeCell ref="H7:J9"/>
    <mergeCell ref="B2:H2"/>
    <mergeCell ref="B3:H3"/>
    <mergeCell ref="J3:K3"/>
    <mergeCell ref="B5:C6"/>
    <mergeCell ref="B7:C9"/>
    <mergeCell ref="D5:E6"/>
    <mergeCell ref="D7:E9"/>
    <mergeCell ref="F5:G6"/>
    <mergeCell ref="F7:G9"/>
    <mergeCell ref="H5:J6"/>
  </mergeCells>
  <conditionalFormatting sqref="F7:G9">
    <cfRule type="cellIs" dxfId="18" priority="1" stopIfTrue="1" operator="lessThan">
      <formula>0</formula>
    </cfRule>
    <cfRule type="cellIs" dxfId="17" priority="2" stopIfTrue="1" operator="greaterThanOrEqual">
      <formula>0</formula>
    </cfRule>
  </conditionalFormatting>
  <dataValidations count="1">
    <dataValidation type="list" allowBlank="1" showInputMessage="1" showErrorMessage="1" sqref="J3:K3" xr:uid="{1238BEC5-8F77-4A90-AB2E-361665246196}">
      <formula1>MonthList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BD9B-6352-4DEB-AEB4-413A605B81FD}">
  <sheetPr codeName="Sheet5"/>
  <dimension ref="A3:A7"/>
  <sheetViews>
    <sheetView workbookViewId="0">
      <selection activeCell="A8" sqref="A8"/>
    </sheetView>
  </sheetViews>
  <sheetFormatPr defaultRowHeight="15" x14ac:dyDescent="0.25"/>
  <cols>
    <col min="1" max="1" width="12.28515625" bestFit="1" customWidth="1"/>
  </cols>
  <sheetData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72C12-5A63-4D2B-AA53-6D29BCCE3E48}">
  <sheetPr codeName="Sheet4"/>
  <dimension ref="A1:C13"/>
  <sheetViews>
    <sheetView topLeftCell="A4" workbookViewId="0">
      <selection activeCell="G13" sqref="G13"/>
    </sheetView>
  </sheetViews>
  <sheetFormatPr defaultRowHeight="15" x14ac:dyDescent="0.25"/>
  <cols>
    <col min="1" max="1" width="20.42578125" bestFit="1" customWidth="1"/>
    <col min="3" max="3" width="9.85546875" customWidth="1"/>
  </cols>
  <sheetData>
    <row r="1" spans="1:3" x14ac:dyDescent="0.25">
      <c r="A1" t="s">
        <v>248</v>
      </c>
      <c r="C1" t="s">
        <v>249</v>
      </c>
    </row>
    <row r="2" spans="1:3" x14ac:dyDescent="0.25">
      <c r="A2" t="s">
        <v>226</v>
      </c>
      <c r="C2" s="2">
        <f>DATE(2025,1,1)</f>
        <v>45658</v>
      </c>
    </row>
    <row r="3" spans="1:3" x14ac:dyDescent="0.25">
      <c r="A3" t="s">
        <v>230</v>
      </c>
      <c r="C3" s="2">
        <f>EDATE(C2,1)</f>
        <v>45689</v>
      </c>
    </row>
    <row r="4" spans="1:3" x14ac:dyDescent="0.25">
      <c r="A4" t="s">
        <v>233</v>
      </c>
      <c r="C4" s="2">
        <f t="shared" ref="C4:C13" si="0">EDATE(C3,1)</f>
        <v>45717</v>
      </c>
    </row>
    <row r="5" spans="1:3" x14ac:dyDescent="0.25">
      <c r="A5" t="s">
        <v>232</v>
      </c>
      <c r="C5" s="2">
        <f t="shared" si="0"/>
        <v>45748</v>
      </c>
    </row>
    <row r="6" spans="1:3" x14ac:dyDescent="0.25">
      <c r="A6" t="s">
        <v>228</v>
      </c>
      <c r="C6" s="2">
        <f t="shared" si="0"/>
        <v>45778</v>
      </c>
    </row>
    <row r="7" spans="1:3" x14ac:dyDescent="0.25">
      <c r="A7" t="s">
        <v>227</v>
      </c>
      <c r="C7" s="2">
        <f t="shared" si="0"/>
        <v>45809</v>
      </c>
    </row>
    <row r="8" spans="1:3" x14ac:dyDescent="0.25">
      <c r="A8" t="s">
        <v>231</v>
      </c>
      <c r="C8" s="2">
        <f t="shared" si="0"/>
        <v>45839</v>
      </c>
    </row>
    <row r="9" spans="1:3" x14ac:dyDescent="0.25">
      <c r="A9" t="s">
        <v>250</v>
      </c>
      <c r="C9" s="2">
        <f t="shared" si="0"/>
        <v>45870</v>
      </c>
    </row>
    <row r="10" spans="1:3" x14ac:dyDescent="0.25">
      <c r="C10" s="2">
        <f t="shared" si="0"/>
        <v>45901</v>
      </c>
    </row>
    <row r="11" spans="1:3" x14ac:dyDescent="0.25">
      <c r="C11" s="2">
        <f t="shared" si="0"/>
        <v>45931</v>
      </c>
    </row>
    <row r="12" spans="1:3" x14ac:dyDescent="0.25">
      <c r="C12" s="2">
        <f t="shared" si="0"/>
        <v>45962</v>
      </c>
    </row>
    <row r="13" spans="1:3" x14ac:dyDescent="0.25">
      <c r="C13" s="2">
        <f t="shared" si="0"/>
        <v>45992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Raw_Data</vt:lpstr>
      <vt:lpstr>Categorized_Data</vt:lpstr>
      <vt:lpstr>Summary</vt:lpstr>
      <vt:lpstr>README</vt:lpstr>
      <vt:lpstr>Control</vt:lpstr>
      <vt:lpstr>ExpenseCategory</vt:lpstr>
      <vt:lpstr>Raw_Data!ExternalData_1</vt:lpstr>
      <vt:lpstr>Raw_Data!ExternalData_10</vt:lpstr>
      <vt:lpstr>Raw_Data!ExternalData_11</vt:lpstr>
      <vt:lpstr>Raw_Data!ExternalData_12</vt:lpstr>
      <vt:lpstr>Raw_Data!ExternalData_13</vt:lpstr>
      <vt:lpstr>Raw_Data!ExternalData_14</vt:lpstr>
      <vt:lpstr>Raw_Data!ExternalData_15</vt:lpstr>
      <vt:lpstr>Raw_Data!ExternalData_16</vt:lpstr>
      <vt:lpstr>Raw_Data!ExternalData_17</vt:lpstr>
      <vt:lpstr>Raw_Data!ExternalData_18</vt:lpstr>
      <vt:lpstr>Raw_Data!ExternalData_19</vt:lpstr>
      <vt:lpstr>Raw_Data!ExternalData_2</vt:lpstr>
      <vt:lpstr>Raw_Data!ExternalData_20</vt:lpstr>
      <vt:lpstr>Raw_Data!ExternalData_21</vt:lpstr>
      <vt:lpstr>Raw_Data!ExternalData_22</vt:lpstr>
      <vt:lpstr>Raw_Data!ExternalData_23</vt:lpstr>
      <vt:lpstr>Raw_Data!ExternalData_24</vt:lpstr>
      <vt:lpstr>Raw_Data!ExternalData_25</vt:lpstr>
      <vt:lpstr>Raw_Data!ExternalData_26</vt:lpstr>
      <vt:lpstr>Raw_Data!ExternalData_27</vt:lpstr>
      <vt:lpstr>Raw_Data!ExternalData_28</vt:lpstr>
      <vt:lpstr>Raw_Data!ExternalData_29</vt:lpstr>
      <vt:lpstr>Raw_Data!ExternalData_3</vt:lpstr>
      <vt:lpstr>Raw_Data!ExternalData_30</vt:lpstr>
      <vt:lpstr>Raw_Data!ExternalData_31</vt:lpstr>
      <vt:lpstr>Raw_Data!ExternalData_32</vt:lpstr>
      <vt:lpstr>Raw_Data!ExternalData_33</vt:lpstr>
      <vt:lpstr>Raw_Data!ExternalData_34</vt:lpstr>
      <vt:lpstr>Raw_Data!ExternalData_35</vt:lpstr>
      <vt:lpstr>Raw_Data!ExternalData_36</vt:lpstr>
      <vt:lpstr>Raw_Data!ExternalData_37</vt:lpstr>
      <vt:lpstr>Raw_Data!ExternalData_4</vt:lpstr>
      <vt:lpstr>Raw_Data!ExternalData_5</vt:lpstr>
      <vt:lpstr>Raw_Data!ExternalData_6</vt:lpstr>
      <vt:lpstr>Raw_Data!ExternalData_7</vt:lpstr>
      <vt:lpstr>Raw_Data!ExternalData_8</vt:lpstr>
      <vt:lpstr>Raw_Data!ExternalData_9</vt:lpstr>
      <vt:lpstr>MonthList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James Flannery</dc:creator>
  <cp:keywords/>
  <dc:description/>
  <cp:lastModifiedBy>James Flannery</cp:lastModifiedBy>
  <cp:revision/>
  <dcterms:created xsi:type="dcterms:W3CDTF">2026-04-20T09:41:22Z</dcterms:created>
  <dcterms:modified xsi:type="dcterms:W3CDTF">2026-06-23T10:46:44Z</dcterms:modified>
  <cp:category/>
  <cp:contentStatus/>
</cp:coreProperties>
</file>